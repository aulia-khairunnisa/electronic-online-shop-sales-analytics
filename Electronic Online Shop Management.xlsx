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24226"/>
  <mc:AlternateContent xmlns:mc="http://schemas.openxmlformats.org/markup-compatibility/2006">
    <mc:Choice Requires="x15">
      <x15ac:absPath xmlns:x15ac="http://schemas.microsoft.com/office/spreadsheetml/2010/11/ac" url="https://d.docs.live.net/41139345319bbd04/Desktop/"/>
    </mc:Choice>
  </mc:AlternateContent>
  <xr:revisionPtr revIDLastSave="8" documentId="8_{4340B846-50FC-4BAA-8BD7-C9665A31F7DE}" xr6:coauthVersionLast="45" xr6:coauthVersionMax="45" xr10:uidLastSave="{27B61EC1-3BB7-4D29-8A82-37C86686BF6C}"/>
  <bookViews>
    <workbookView xWindow="-120" yWindow="-120" windowWidth="20730" windowHeight="11760" activeTab="2" xr2:uid="{00000000-000D-0000-FFFF-FFFF00000000}"/>
  </bookViews>
  <sheets>
    <sheet name="Master_Data" sheetId="1" r:id="rId1"/>
    <sheet name="Order_Log" sheetId="6" r:id="rId2"/>
    <sheet name="Pivot_Table" sheetId="7" r:id="rId3"/>
  </sheets>
  <definedNames>
    <definedName name="Slicer_Months">#N/A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Q4" i="6" l="1"/>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3" i="6"/>
  <c r="P3" i="6" l="1"/>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3" i="6"/>
  <c r="E4" i="6" l="1"/>
  <c r="G4" i="6" s="1"/>
  <c r="H4" i="6" s="1"/>
  <c r="E5" i="6"/>
  <c r="G5" i="6" s="1"/>
  <c r="H5" i="6" s="1"/>
  <c r="E6" i="6"/>
  <c r="G6" i="6" s="1"/>
  <c r="H6" i="6" s="1"/>
  <c r="E7" i="6"/>
  <c r="G7" i="6" s="1"/>
  <c r="H7" i="6" s="1"/>
  <c r="E8" i="6"/>
  <c r="G8" i="6" s="1"/>
  <c r="H8" i="6" s="1"/>
  <c r="E9" i="6"/>
  <c r="G9" i="6" s="1"/>
  <c r="H9" i="6" s="1"/>
  <c r="E10" i="6"/>
  <c r="G10" i="6" s="1"/>
  <c r="H10" i="6" s="1"/>
  <c r="E11" i="6"/>
  <c r="G11" i="6" s="1"/>
  <c r="H11" i="6" s="1"/>
  <c r="E12" i="6"/>
  <c r="G12" i="6" s="1"/>
  <c r="H12" i="6" s="1"/>
  <c r="E13" i="6"/>
  <c r="G13" i="6" s="1"/>
  <c r="H13" i="6" s="1"/>
  <c r="E14" i="6"/>
  <c r="G14" i="6" s="1"/>
  <c r="H14" i="6" s="1"/>
  <c r="E15" i="6"/>
  <c r="G15" i="6" s="1"/>
  <c r="H15" i="6" s="1"/>
  <c r="E16" i="6"/>
  <c r="G16" i="6" s="1"/>
  <c r="H16" i="6" s="1"/>
  <c r="E17" i="6"/>
  <c r="G17" i="6" s="1"/>
  <c r="H17" i="6" s="1"/>
  <c r="E18" i="6"/>
  <c r="G18" i="6" s="1"/>
  <c r="H18" i="6" s="1"/>
  <c r="E19" i="6"/>
  <c r="G19" i="6" s="1"/>
  <c r="H19" i="6" s="1"/>
  <c r="E20" i="6"/>
  <c r="G20" i="6" s="1"/>
  <c r="H20" i="6" s="1"/>
  <c r="E21" i="6"/>
  <c r="G21" i="6" s="1"/>
  <c r="H21" i="6" s="1"/>
  <c r="E22" i="6"/>
  <c r="G22" i="6" s="1"/>
  <c r="H22" i="6" s="1"/>
  <c r="E23" i="6"/>
  <c r="G23" i="6" s="1"/>
  <c r="H23" i="6" s="1"/>
  <c r="E24" i="6"/>
  <c r="G24" i="6" s="1"/>
  <c r="H24" i="6" s="1"/>
  <c r="E25" i="6"/>
  <c r="G25" i="6" s="1"/>
  <c r="H25" i="6" s="1"/>
  <c r="E26" i="6"/>
  <c r="G26" i="6" s="1"/>
  <c r="H26" i="6" s="1"/>
  <c r="E27" i="6"/>
  <c r="G27" i="6" s="1"/>
  <c r="H27" i="6" s="1"/>
  <c r="E28" i="6"/>
  <c r="G28" i="6" s="1"/>
  <c r="H28" i="6" s="1"/>
  <c r="E29" i="6"/>
  <c r="G29" i="6" s="1"/>
  <c r="H29" i="6" s="1"/>
  <c r="E30" i="6"/>
  <c r="G30" i="6" s="1"/>
  <c r="H30" i="6" s="1"/>
  <c r="E31" i="6"/>
  <c r="G31" i="6" s="1"/>
  <c r="H31" i="6" s="1"/>
  <c r="E32" i="6"/>
  <c r="G32" i="6" s="1"/>
  <c r="H32" i="6" s="1"/>
  <c r="E33" i="6"/>
  <c r="G33" i="6" s="1"/>
  <c r="H33" i="6" s="1"/>
  <c r="E34" i="6"/>
  <c r="G34" i="6" s="1"/>
  <c r="H34" i="6" s="1"/>
  <c r="E35" i="6"/>
  <c r="G35" i="6" s="1"/>
  <c r="H35" i="6" s="1"/>
  <c r="E36" i="6"/>
  <c r="G36" i="6" s="1"/>
  <c r="H36" i="6" s="1"/>
  <c r="E37" i="6"/>
  <c r="G37" i="6" s="1"/>
  <c r="H37" i="6" s="1"/>
  <c r="E38" i="6"/>
  <c r="G38" i="6" s="1"/>
  <c r="H38" i="6" s="1"/>
  <c r="E39" i="6"/>
  <c r="G39" i="6" s="1"/>
  <c r="H39" i="6" s="1"/>
  <c r="E40" i="6"/>
  <c r="G40" i="6" s="1"/>
  <c r="H40" i="6" s="1"/>
  <c r="E41" i="6"/>
  <c r="G41" i="6" s="1"/>
  <c r="H41" i="6" s="1"/>
  <c r="E42" i="6"/>
  <c r="G42" i="6" s="1"/>
  <c r="H42" i="6" s="1"/>
  <c r="E43" i="6"/>
  <c r="G43" i="6" s="1"/>
  <c r="H43" i="6" s="1"/>
  <c r="E44" i="6"/>
  <c r="G44" i="6" s="1"/>
  <c r="H44" i="6" s="1"/>
  <c r="E45" i="6"/>
  <c r="G45" i="6" s="1"/>
  <c r="H45" i="6" s="1"/>
  <c r="E46" i="6"/>
  <c r="G46" i="6" s="1"/>
  <c r="H46" i="6" s="1"/>
  <c r="E47" i="6"/>
  <c r="G47" i="6" s="1"/>
  <c r="H47" i="6" s="1"/>
  <c r="E48" i="6"/>
  <c r="G48" i="6" s="1"/>
  <c r="H48" i="6" s="1"/>
  <c r="E49" i="6"/>
  <c r="G49" i="6" s="1"/>
  <c r="H49" i="6" s="1"/>
  <c r="E50" i="6"/>
  <c r="G50" i="6" s="1"/>
  <c r="H50" i="6" s="1"/>
  <c r="E51" i="6"/>
  <c r="G51" i="6" s="1"/>
  <c r="H51" i="6" s="1"/>
  <c r="E52" i="6"/>
  <c r="G52" i="6" s="1"/>
  <c r="H52" i="6" s="1"/>
  <c r="E53" i="6"/>
  <c r="G53" i="6" s="1"/>
  <c r="H53" i="6" s="1"/>
  <c r="E54" i="6"/>
  <c r="G54" i="6" s="1"/>
  <c r="H54" i="6" s="1"/>
  <c r="E55" i="6"/>
  <c r="G55" i="6" s="1"/>
  <c r="H55" i="6" s="1"/>
  <c r="E56" i="6"/>
  <c r="G56" i="6" s="1"/>
  <c r="H56" i="6" s="1"/>
  <c r="E57" i="6"/>
  <c r="G57" i="6" s="1"/>
  <c r="H57" i="6" s="1"/>
  <c r="E58" i="6"/>
  <c r="G58" i="6" s="1"/>
  <c r="H58" i="6" s="1"/>
  <c r="E59" i="6"/>
  <c r="G59" i="6" s="1"/>
  <c r="H59" i="6" s="1"/>
  <c r="E60" i="6"/>
  <c r="G60" i="6" s="1"/>
  <c r="H60" i="6" s="1"/>
  <c r="E61" i="6"/>
  <c r="G61" i="6" s="1"/>
  <c r="H61" i="6" s="1"/>
  <c r="E62" i="6"/>
  <c r="G62" i="6" s="1"/>
  <c r="H62" i="6" s="1"/>
  <c r="E63" i="6"/>
  <c r="G63" i="6" s="1"/>
  <c r="H63" i="6" s="1"/>
  <c r="E3" i="6"/>
  <c r="G3" i="6" s="1"/>
  <c r="H3" i="6" s="1"/>
  <c r="J3" i="6" s="1"/>
  <c r="D4" i="6"/>
  <c r="I4" i="6" s="1"/>
  <c r="D5" i="6"/>
  <c r="I5" i="6" s="1"/>
  <c r="D6" i="6"/>
  <c r="I6" i="6" s="1"/>
  <c r="D7" i="6"/>
  <c r="I7" i="6" s="1"/>
  <c r="D8" i="6"/>
  <c r="I8" i="6" s="1"/>
  <c r="D9" i="6"/>
  <c r="I9" i="6" s="1"/>
  <c r="D10" i="6"/>
  <c r="I10" i="6" s="1"/>
  <c r="D11" i="6"/>
  <c r="I11" i="6" s="1"/>
  <c r="D12" i="6"/>
  <c r="I12" i="6" s="1"/>
  <c r="D13" i="6"/>
  <c r="I13" i="6" s="1"/>
  <c r="D14" i="6"/>
  <c r="I14" i="6" s="1"/>
  <c r="D15" i="6"/>
  <c r="I15" i="6" s="1"/>
  <c r="D16" i="6"/>
  <c r="I16" i="6" s="1"/>
  <c r="D17" i="6"/>
  <c r="I17" i="6" s="1"/>
  <c r="D18" i="6"/>
  <c r="I18" i="6" s="1"/>
  <c r="D19" i="6"/>
  <c r="I19" i="6" s="1"/>
  <c r="D20" i="6"/>
  <c r="I20" i="6" s="1"/>
  <c r="D21" i="6"/>
  <c r="I21" i="6" s="1"/>
  <c r="D22" i="6"/>
  <c r="I22" i="6" s="1"/>
  <c r="D23" i="6"/>
  <c r="I23" i="6" s="1"/>
  <c r="D24" i="6"/>
  <c r="I24" i="6" s="1"/>
  <c r="D25" i="6"/>
  <c r="I25" i="6" s="1"/>
  <c r="D26" i="6"/>
  <c r="I26" i="6" s="1"/>
  <c r="D27" i="6"/>
  <c r="I27" i="6" s="1"/>
  <c r="D28" i="6"/>
  <c r="I28" i="6" s="1"/>
  <c r="D29" i="6"/>
  <c r="I29" i="6" s="1"/>
  <c r="D30" i="6"/>
  <c r="I30" i="6" s="1"/>
  <c r="D31" i="6"/>
  <c r="I31" i="6" s="1"/>
  <c r="D32" i="6"/>
  <c r="I32" i="6" s="1"/>
  <c r="D33" i="6"/>
  <c r="I33" i="6" s="1"/>
  <c r="D34" i="6"/>
  <c r="I34" i="6" s="1"/>
  <c r="D35" i="6"/>
  <c r="I35" i="6" s="1"/>
  <c r="D36" i="6"/>
  <c r="I36" i="6" s="1"/>
  <c r="D37" i="6"/>
  <c r="I37" i="6" s="1"/>
  <c r="D38" i="6"/>
  <c r="I38" i="6" s="1"/>
  <c r="D39" i="6"/>
  <c r="I39" i="6" s="1"/>
  <c r="D40" i="6"/>
  <c r="I40" i="6" s="1"/>
  <c r="D41" i="6"/>
  <c r="I41" i="6" s="1"/>
  <c r="D42" i="6"/>
  <c r="I42" i="6" s="1"/>
  <c r="D43" i="6"/>
  <c r="I43" i="6" s="1"/>
  <c r="D44" i="6"/>
  <c r="I44" i="6" s="1"/>
  <c r="D45" i="6"/>
  <c r="I45" i="6" s="1"/>
  <c r="D46" i="6"/>
  <c r="I46" i="6" s="1"/>
  <c r="D47" i="6"/>
  <c r="I47" i="6" s="1"/>
  <c r="D48" i="6"/>
  <c r="I48" i="6" s="1"/>
  <c r="D49" i="6"/>
  <c r="I49" i="6" s="1"/>
  <c r="D50" i="6"/>
  <c r="I50" i="6" s="1"/>
  <c r="D51" i="6"/>
  <c r="I51" i="6" s="1"/>
  <c r="D52" i="6"/>
  <c r="I52" i="6" s="1"/>
  <c r="D53" i="6"/>
  <c r="I53" i="6" s="1"/>
  <c r="D54" i="6"/>
  <c r="I54" i="6" s="1"/>
  <c r="D55" i="6"/>
  <c r="I55" i="6" s="1"/>
  <c r="D56" i="6"/>
  <c r="I56" i="6" s="1"/>
  <c r="D57" i="6"/>
  <c r="I57" i="6" s="1"/>
  <c r="D58" i="6"/>
  <c r="I58" i="6" s="1"/>
  <c r="D59" i="6"/>
  <c r="I59" i="6" s="1"/>
  <c r="D60" i="6"/>
  <c r="I60" i="6" s="1"/>
  <c r="D61" i="6"/>
  <c r="I61" i="6" s="1"/>
  <c r="D62" i="6"/>
  <c r="I62" i="6" s="1"/>
  <c r="D63" i="6"/>
  <c r="I63" i="6" s="1"/>
  <c r="D3" i="6"/>
  <c r="I3" i="6" s="1"/>
  <c r="K3" i="6" l="1"/>
  <c r="L3" i="6" s="1"/>
  <c r="J62" i="6"/>
  <c r="J60" i="6"/>
  <c r="J58" i="6"/>
  <c r="J56" i="6"/>
  <c r="J54" i="6"/>
  <c r="J52" i="6"/>
  <c r="J50" i="6"/>
  <c r="J48" i="6"/>
  <c r="J46" i="6"/>
  <c r="J44" i="6"/>
  <c r="J42" i="6"/>
  <c r="J40" i="6"/>
  <c r="J38" i="6"/>
  <c r="J36" i="6"/>
  <c r="J34" i="6"/>
  <c r="J32" i="6"/>
  <c r="J30" i="6"/>
  <c r="J28" i="6"/>
  <c r="J26" i="6"/>
  <c r="J24" i="6"/>
  <c r="J22" i="6"/>
  <c r="J20" i="6"/>
  <c r="J18" i="6"/>
  <c r="J16" i="6"/>
  <c r="J14" i="6"/>
  <c r="J12" i="6"/>
  <c r="J10" i="6"/>
  <c r="J8" i="6"/>
  <c r="J6" i="6"/>
  <c r="J4" i="6"/>
  <c r="J63" i="6"/>
  <c r="J61" i="6"/>
  <c r="J59" i="6"/>
  <c r="J57" i="6"/>
  <c r="J55" i="6"/>
  <c r="J53" i="6"/>
  <c r="J51" i="6"/>
  <c r="J49" i="6"/>
  <c r="J47" i="6"/>
  <c r="J45" i="6"/>
  <c r="J43" i="6"/>
  <c r="J41" i="6"/>
  <c r="J39" i="6"/>
  <c r="J37" i="6"/>
  <c r="J35" i="6"/>
  <c r="J33" i="6"/>
  <c r="J31" i="6"/>
  <c r="J29" i="6"/>
  <c r="J27" i="6"/>
  <c r="J25" i="6"/>
  <c r="J23" i="6"/>
  <c r="J21" i="6"/>
  <c r="J19" i="6"/>
  <c r="J17" i="6"/>
  <c r="J15" i="6"/>
  <c r="J13" i="6"/>
  <c r="J11" i="6"/>
  <c r="J9" i="6"/>
  <c r="J7" i="6"/>
  <c r="J5" i="6"/>
  <c r="K11" i="6" l="1"/>
  <c r="L11" i="6" s="1"/>
  <c r="L19" i="6"/>
  <c r="K19" i="6"/>
  <c r="L5" i="6"/>
  <c r="K5" i="6"/>
  <c r="L9" i="6"/>
  <c r="K9" i="6"/>
  <c r="L13" i="6"/>
  <c r="K13" i="6"/>
  <c r="L17" i="6"/>
  <c r="K17" i="6"/>
  <c r="L21" i="6"/>
  <c r="K21" i="6"/>
  <c r="L25" i="6"/>
  <c r="K25" i="6"/>
  <c r="L29" i="6"/>
  <c r="K29" i="6"/>
  <c r="L33" i="6"/>
  <c r="K33" i="6"/>
  <c r="L37" i="6"/>
  <c r="K37" i="6"/>
  <c r="L41" i="6"/>
  <c r="K41" i="6"/>
  <c r="L45" i="6"/>
  <c r="K45" i="6"/>
  <c r="L49" i="6"/>
  <c r="K49" i="6"/>
  <c r="L53" i="6"/>
  <c r="K53" i="6"/>
  <c r="L57" i="6"/>
  <c r="K57" i="6"/>
  <c r="L61" i="6"/>
  <c r="K61" i="6"/>
  <c r="K4" i="6"/>
  <c r="L4" i="6" s="1"/>
  <c r="K8" i="6"/>
  <c r="L8" i="6" s="1"/>
  <c r="K12" i="6"/>
  <c r="L12" i="6" s="1"/>
  <c r="K16" i="6"/>
  <c r="L16" i="6" s="1"/>
  <c r="K20" i="6"/>
  <c r="L20" i="6" s="1"/>
  <c r="K24" i="6"/>
  <c r="L24" i="6" s="1"/>
  <c r="K28" i="6"/>
  <c r="L28" i="6" s="1"/>
  <c r="K32" i="6"/>
  <c r="L32" i="6" s="1"/>
  <c r="K36" i="6"/>
  <c r="L36" i="6" s="1"/>
  <c r="K40" i="6"/>
  <c r="L40" i="6" s="1"/>
  <c r="K44" i="6"/>
  <c r="L44" i="6" s="1"/>
  <c r="K48" i="6"/>
  <c r="L48" i="6" s="1"/>
  <c r="K52" i="6"/>
  <c r="L52" i="6" s="1"/>
  <c r="K56" i="6"/>
  <c r="L56" i="6" s="1"/>
  <c r="K60" i="6"/>
  <c r="L60" i="6" s="1"/>
  <c r="L7" i="6"/>
  <c r="K7" i="6"/>
  <c r="L15" i="6"/>
  <c r="K15" i="6"/>
  <c r="L23" i="6"/>
  <c r="K23" i="6"/>
  <c r="L27" i="6"/>
  <c r="K27" i="6"/>
  <c r="L31" i="6"/>
  <c r="K31" i="6"/>
  <c r="L35" i="6"/>
  <c r="K35" i="6"/>
  <c r="L39" i="6"/>
  <c r="K39" i="6"/>
  <c r="L43" i="6"/>
  <c r="K43" i="6"/>
  <c r="L47" i="6"/>
  <c r="K47" i="6"/>
  <c r="L51" i="6"/>
  <c r="K51" i="6"/>
  <c r="L55" i="6"/>
  <c r="K55" i="6"/>
  <c r="L59" i="6"/>
  <c r="K59" i="6"/>
  <c r="L63" i="6"/>
  <c r="K63" i="6"/>
  <c r="K6" i="6"/>
  <c r="L6" i="6" s="1"/>
  <c r="K10" i="6"/>
  <c r="L10" i="6" s="1"/>
  <c r="K14" i="6"/>
  <c r="L14" i="6" s="1"/>
  <c r="K18" i="6"/>
  <c r="L18" i="6" s="1"/>
  <c r="K22" i="6"/>
  <c r="L22" i="6" s="1"/>
  <c r="K26" i="6"/>
  <c r="L26" i="6" s="1"/>
  <c r="K30" i="6"/>
  <c r="L30" i="6" s="1"/>
  <c r="K34" i="6"/>
  <c r="L34" i="6" s="1"/>
  <c r="K38" i="6"/>
  <c r="L38" i="6" s="1"/>
  <c r="K42" i="6"/>
  <c r="L42" i="6" s="1"/>
  <c r="K46" i="6"/>
  <c r="L46" i="6" s="1"/>
  <c r="K50" i="6"/>
  <c r="L50" i="6" s="1"/>
  <c r="K54" i="6"/>
  <c r="L54" i="6" s="1"/>
  <c r="K58" i="6"/>
  <c r="L58" i="6" s="1"/>
  <c r="K62" i="6"/>
  <c r="L62" i="6" s="1"/>
</calcChain>
</file>

<file path=xl/sharedStrings.xml><?xml version="1.0" encoding="utf-8"?>
<sst xmlns="http://schemas.openxmlformats.org/spreadsheetml/2006/main" count="250" uniqueCount="175">
  <si>
    <t>ID TRANSAKSI</t>
  </si>
  <si>
    <t>TANGGAL</t>
  </si>
  <si>
    <t>SALES</t>
  </si>
  <si>
    <t>KATEGORI PRODUK</t>
  </si>
  <si>
    <t>NAMA PRODUK</t>
  </si>
  <si>
    <t>JUMLAH TERJUAL</t>
  </si>
  <si>
    <t>HARGA SATUAN</t>
  </si>
  <si>
    <t>TOTAL PENJUALAN</t>
  </si>
  <si>
    <t>TOTAL SETELAH DISKON</t>
  </si>
  <si>
    <t>PPN (11%)</t>
  </si>
  <si>
    <t>PEMBAYARAN</t>
  </si>
  <si>
    <t>NAMA PELANGGAN</t>
  </si>
  <si>
    <t>WILAYAH</t>
  </si>
  <si>
    <t>PENGIRIMAN/KURIR</t>
  </si>
  <si>
    <t>Sulantoni Irmawan</t>
  </si>
  <si>
    <t>Bambang Ruwandi</t>
  </si>
  <si>
    <t>Meini Sari</t>
  </si>
  <si>
    <t>Maya Safitri</t>
  </si>
  <si>
    <t>Keno Barak</t>
  </si>
  <si>
    <t>Monmon Purwanto</t>
  </si>
  <si>
    <t>Tina Anggraeni</t>
  </si>
  <si>
    <t>NO</t>
  </si>
  <si>
    <t>ID PRODUK</t>
  </si>
  <si>
    <t>HARGA PRODUK</t>
  </si>
  <si>
    <t>Lenovo Idepad</t>
  </si>
  <si>
    <t>Acer Aspire 5</t>
  </si>
  <si>
    <t>Logitech Mouse</t>
  </si>
  <si>
    <t>AirPods Gen-2</t>
  </si>
  <si>
    <t>Samsung A15</t>
  </si>
  <si>
    <t>Iphone 16 128GB</t>
  </si>
  <si>
    <t>Jawa Barat</t>
  </si>
  <si>
    <t>DKI Jakarta</t>
  </si>
  <si>
    <t>Jawa Tengah</t>
  </si>
  <si>
    <t>Jawa Timur</t>
  </si>
  <si>
    <t>LOKA WIRANTA</t>
  </si>
  <si>
    <t>HANA LIN</t>
  </si>
  <si>
    <t>SANITA VELORA</t>
  </si>
  <si>
    <t>VANYA RUSELINA</t>
  </si>
  <si>
    <t>REZA TARMOKO</t>
  </si>
  <si>
    <t>DARGO MAWESTA</t>
  </si>
  <si>
    <t>TISYA AVENDRA</t>
  </si>
  <si>
    <t>KARYO LIMANTARA</t>
  </si>
  <si>
    <t>JEFRO MALANTARA</t>
  </si>
  <si>
    <t>BINAR KENDARTA</t>
  </si>
  <si>
    <t>CHIKA YURESTA</t>
  </si>
  <si>
    <t>MEI ZHANG</t>
  </si>
  <si>
    <t>LIU SHISHI</t>
  </si>
  <si>
    <t>ZHANG ROUNAN</t>
  </si>
  <si>
    <t>SONG ZUER</t>
  </si>
  <si>
    <t>VARO GHANTIRA</t>
  </si>
  <si>
    <t>ZHANG YUNLONG</t>
  </si>
  <si>
    <t>BAI JINTING</t>
  </si>
  <si>
    <t>LIU YUNING</t>
  </si>
  <si>
    <t>SELVI MAHARENTIYA</t>
  </si>
  <si>
    <t>ETHAN CHALLISTER</t>
  </si>
  <si>
    <t>DENO ABHYAKA</t>
  </si>
  <si>
    <t>LINDA SERWASTI</t>
  </si>
  <si>
    <t>CALVIN TRASMOKO</t>
  </si>
  <si>
    <t>YAVITA ORLENZA</t>
  </si>
  <si>
    <t>GALAN MERDANA</t>
  </si>
  <si>
    <t>SYIFA ANTAVERA</t>
  </si>
  <si>
    <t>NIRA ZALINDRA</t>
  </si>
  <si>
    <t>LIAM HARGROVE</t>
  </si>
  <si>
    <t>YICHEN LUO</t>
  </si>
  <si>
    <t>CHENG XIAO</t>
  </si>
  <si>
    <t>XU KAI</t>
  </si>
  <si>
    <t>SONG WEI LONG</t>
  </si>
  <si>
    <t>PUTRI MAWESTI</t>
  </si>
  <si>
    <t>MAWAR INDAH</t>
  </si>
  <si>
    <t>MALVIN SUHENDAR</t>
  </si>
  <si>
    <t>PINUTIAMI</t>
  </si>
  <si>
    <t>NASWENDA</t>
  </si>
  <si>
    <t>KUMALA INTAN</t>
  </si>
  <si>
    <t>WANG AYUN</t>
  </si>
  <si>
    <t>JU JINGYI</t>
  </si>
  <si>
    <t>CHEN DULIN</t>
  </si>
  <si>
    <t>HOU NEO</t>
  </si>
  <si>
    <t>ZHANG LIEHE</t>
  </si>
  <si>
    <t>DILRABA</t>
  </si>
  <si>
    <t>MOUNTIEANI</t>
  </si>
  <si>
    <t>DINASWARA</t>
  </si>
  <si>
    <t>TIAN XIWEI</t>
  </si>
  <si>
    <t>LI QIN</t>
  </si>
  <si>
    <t>ZHANG BICHEN</t>
  </si>
  <si>
    <t>SONG YUQI</t>
  </si>
  <si>
    <t>RICHARD LI</t>
  </si>
  <si>
    <t>LEO WU</t>
  </si>
  <si>
    <t>MELATI PUTIH</t>
  </si>
  <si>
    <t>NANO MURWANTO</t>
  </si>
  <si>
    <t>KAKA KIKI</t>
  </si>
  <si>
    <t>SARI PATI INDAH</t>
  </si>
  <si>
    <t>DUMANDO</t>
  </si>
  <si>
    <t>CICI MEILI</t>
  </si>
  <si>
    <t>TIA RAY</t>
  </si>
  <si>
    <t>RAVIE WARDANA</t>
  </si>
  <si>
    <t>LAPTOP</t>
  </si>
  <si>
    <t>AKSESORIS</t>
  </si>
  <si>
    <t>SMARTPHONE</t>
  </si>
  <si>
    <t>JN</t>
  </si>
  <si>
    <t>Kurir JNE</t>
  </si>
  <si>
    <t>J&amp;</t>
  </si>
  <si>
    <t>Kurir J&amp;T</t>
  </si>
  <si>
    <t>SC</t>
  </si>
  <si>
    <t>SiCepat</t>
  </si>
  <si>
    <t>LAMA PENGIRIMAN</t>
  </si>
  <si>
    <t>TOTAL AKHIR</t>
  </si>
  <si>
    <t>JBR-L01/LI-JN/C</t>
  </si>
  <si>
    <t>DKI-L01/AA-J&amp;/G</t>
  </si>
  <si>
    <t>JWH-A02/LM-SC/D</t>
  </si>
  <si>
    <t>JWR-A02/AP-J&amp;/C</t>
  </si>
  <si>
    <t>DKI-S03/SM-J&amp;-C</t>
  </si>
  <si>
    <t>JBR-S03/IP-JN/D</t>
  </si>
  <si>
    <t>JWR-L01/AA-SC/C</t>
  </si>
  <si>
    <t>JWH-S03/SM-J&amp;/D</t>
  </si>
  <si>
    <t>JWH-L01/LI-SC/D</t>
  </si>
  <si>
    <t>DKI-L01/LI-SC/G</t>
  </si>
  <si>
    <t>JBR-A02/AP-JN/C</t>
  </si>
  <si>
    <t>JBR-S03/SM-SC/D</t>
  </si>
  <si>
    <t>JBR-S03/IP-J&amp;/C</t>
  </si>
  <si>
    <t>DKI-L01/AA-JN/C</t>
  </si>
  <si>
    <t>JWH-A02/AP-J&amp;/G</t>
  </si>
  <si>
    <t>JWR-S03/IP-SC/D</t>
  </si>
  <si>
    <t>JBR-S03/IP-SC/C</t>
  </si>
  <si>
    <t>JWH-L01/AA-JN/G</t>
  </si>
  <si>
    <t>JBR-L01/AA-JN/D</t>
  </si>
  <si>
    <t>JBR-S03/IP-J&amp;/G</t>
  </si>
  <si>
    <t>DKI-S03/IP-JN/C</t>
  </si>
  <si>
    <t>JWR-A02/LM-SC/C</t>
  </si>
  <si>
    <t>JWH-S03/SM-SC/D</t>
  </si>
  <si>
    <t>JBR-A02/LM-J&amp;/G</t>
  </si>
  <si>
    <t>DKI-L01/AA-JN/G</t>
  </si>
  <si>
    <t>DKI-L01/LI-J&amp;/C</t>
  </si>
  <si>
    <t>JBR-A02/AP-J&amp;/D</t>
  </si>
  <si>
    <t>JWH-L01/AA-J&amp;/D</t>
  </si>
  <si>
    <t>DKI-A02/LM-J&amp;-G</t>
  </si>
  <si>
    <t>DKI-A02/LM-JN/G</t>
  </si>
  <si>
    <t>DKI-S03/IP-J&amp;-C</t>
  </si>
  <si>
    <t>JBR-S03/IP-JN/G</t>
  </si>
  <si>
    <t>JWR-A02/AP-SC/C</t>
  </si>
  <si>
    <t>JWR-S03/SM-JN/G</t>
  </si>
  <si>
    <t>JWH-L01/AA-JN/C</t>
  </si>
  <si>
    <t>DKI-L01/AA-J&amp;/C</t>
  </si>
  <si>
    <t>DKI-A02/LM-SC/G</t>
  </si>
  <si>
    <t>JBR-S03/SM-J&amp;/C</t>
  </si>
  <si>
    <t>JBR-A02/LM-SC/C</t>
  </si>
  <si>
    <t>JWR-L01/LI-J&amp;/G</t>
  </si>
  <si>
    <t>JWR-L01/LI-JN/C</t>
  </si>
  <si>
    <t>DKI-A02/LM-J&amp;/D</t>
  </si>
  <si>
    <t>JBR-S03/SM-J&amp;/D</t>
  </si>
  <si>
    <t>JBR-L01/AA-J&amp;/C</t>
  </si>
  <si>
    <t>DKI-A02/AP-SC/C</t>
  </si>
  <si>
    <t>JWH-A02/LM-SC/C</t>
  </si>
  <si>
    <t>DKI-S03/IP-SC/D</t>
  </si>
  <si>
    <t>JBR-S03/IP-SC/D</t>
  </si>
  <si>
    <t>JBR-L01/LI/SC/G</t>
  </si>
  <si>
    <t>L01/LI</t>
  </si>
  <si>
    <t>L01/AA</t>
  </si>
  <si>
    <t>A02/LM</t>
  </si>
  <si>
    <t>A02/AP</t>
  </si>
  <si>
    <t>S03/SM</t>
  </si>
  <si>
    <t>S03/IP</t>
  </si>
  <si>
    <t>KODE</t>
  </si>
  <si>
    <t>KETERANGAN</t>
  </si>
  <si>
    <t>JWR-L01/LI-SC/D</t>
  </si>
  <si>
    <t>DISKON %</t>
  </si>
  <si>
    <t>Row Labels</t>
  </si>
  <si>
    <t>Grand Total</t>
  </si>
  <si>
    <t>Sum of TOTAL PENJUALAN</t>
  </si>
  <si>
    <t>ONLINE SHOP WANZHONG</t>
  </si>
  <si>
    <t>Toko Elektronik</t>
  </si>
  <si>
    <t>Jl. Weiqian KM 101, Kec. Kangyuan</t>
  </si>
  <si>
    <t>Kota Liusong, Prov. Zuyu 30198</t>
  </si>
  <si>
    <t>Komplek Weizhong, Blok Qian-309</t>
  </si>
  <si>
    <t>KATEGORI</t>
  </si>
  <si>
    <t>NAMA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</si>
</sst>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quot;Rp&quot;#,##0"/>
    <numFmt numFmtId="165" formatCode="#,##0_ ;\-#,##0\ "/>
  </numFmts>
  <fonts count="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font>
    <font>
      <i/>
      <sz val="11"/>
      <color theme="1"/>
      <name val="Calibri"/>
      <family val="2"/>
      <scheme val="minor"/>
    </font>
    <font>
      <b/>
      <sz val="18"/>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5" tint="-0.249977111117893"/>
        <bgColor indexed="64"/>
      </patternFill>
    </fill>
    <fill>
      <patternFill patternType="solid">
        <fgColor theme="1"/>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2"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0" fontId="3" fillId="2" borderId="1" xfId="0" applyFont="1" applyFill="1" applyBorder="1" applyAlignment="1">
      <alignment horizontal="center"/>
    </xf>
    <xf numFmtId="0" fontId="0" fillId="0" borderId="1" xfId="0" applyBorder="1" applyAlignment="1">
      <alignment horizontal="center"/>
    </xf>
    <xf numFmtId="0" fontId="0" fillId="0" borderId="1" xfId="0" applyBorder="1"/>
    <xf numFmtId="42" fontId="0" fillId="0" borderId="1" xfId="1" applyFont="1" applyBorder="1"/>
    <xf numFmtId="0" fontId="0" fillId="0" borderId="0" xfId="0" applyBorder="1"/>
    <xf numFmtId="0" fontId="3" fillId="0" borderId="0" xfId="0" applyFont="1" applyFill="1" applyBorder="1" applyAlignment="1">
      <alignment horizontal="center"/>
    </xf>
    <xf numFmtId="0" fontId="0" fillId="0" borderId="0" xfId="0" applyFill="1" applyBorder="1"/>
    <xf numFmtId="0" fontId="0" fillId="0" borderId="0" xfId="0" applyFill="1" applyBorder="1" applyAlignment="1">
      <alignment horizontal="center"/>
    </xf>
    <xf numFmtId="42" fontId="0" fillId="0" borderId="0" xfId="1" applyFont="1" applyFill="1" applyBorder="1"/>
    <xf numFmtId="0" fontId="2" fillId="3" borderId="1" xfId="0" applyFont="1" applyFill="1" applyBorder="1" applyAlignment="1">
      <alignment horizontal="center"/>
    </xf>
    <xf numFmtId="0" fontId="0" fillId="0" borderId="1" xfId="0" applyFill="1" applyBorder="1"/>
    <xf numFmtId="0" fontId="2" fillId="4" borderId="1" xfId="0" applyFont="1" applyFill="1" applyBorder="1" applyAlignment="1">
      <alignment horizontal="center"/>
    </xf>
    <xf numFmtId="0" fontId="2" fillId="3" borderId="1" xfId="0" applyFont="1" applyFill="1" applyBorder="1"/>
    <xf numFmtId="0" fontId="5" fillId="0" borderId="0" xfId="0" applyFont="1"/>
    <xf numFmtId="9" fontId="0" fillId="0" borderId="1" xfId="2" applyFont="1" applyBorder="1" applyAlignment="1">
      <alignment horizontal="center"/>
    </xf>
    <xf numFmtId="0" fontId="0" fillId="0" borderId="0" xfId="0" pivotButton="1"/>
    <xf numFmtId="0" fontId="0" fillId="0" borderId="0" xfId="0" applyAlignment="1">
      <alignment horizontal="left"/>
    </xf>
    <xf numFmtId="0" fontId="0" fillId="5" borderId="1" xfId="0" applyFill="1" applyBorder="1"/>
    <xf numFmtId="14" fontId="0" fillId="5" borderId="1" xfId="0" applyNumberFormat="1" applyFill="1" applyBorder="1"/>
    <xf numFmtId="0" fontId="0" fillId="5" borderId="1" xfId="0" applyFill="1" applyBorder="1" applyAlignment="1">
      <alignment horizontal="center"/>
    </xf>
    <xf numFmtId="0" fontId="4" fillId="5" borderId="1" xfId="0" applyFont="1" applyFill="1" applyBorder="1"/>
    <xf numFmtId="0" fontId="0" fillId="0" borderId="6" xfId="0" applyBorder="1"/>
    <xf numFmtId="0" fontId="0" fillId="0" borderId="7" xfId="0" applyBorder="1"/>
    <xf numFmtId="0" fontId="0" fillId="0" borderId="10" xfId="0" applyBorder="1"/>
    <xf numFmtId="0" fontId="0" fillId="0" borderId="11" xfId="0" applyBorder="1"/>
    <xf numFmtId="0" fontId="0" fillId="0" borderId="11" xfId="0" applyFill="1" applyBorder="1"/>
    <xf numFmtId="0" fontId="0" fillId="0" borderId="12" xfId="0" applyBorder="1"/>
    <xf numFmtId="164" fontId="0" fillId="0" borderId="1" xfId="1" applyNumberFormat="1" applyFont="1" applyBorder="1"/>
    <xf numFmtId="164" fontId="0" fillId="0" borderId="1" xfId="0" applyNumberFormat="1" applyBorder="1"/>
    <xf numFmtId="165" fontId="0" fillId="0" borderId="0" xfId="0" applyNumberFormat="1"/>
    <xf numFmtId="0" fontId="0" fillId="0" borderId="0" xfId="0" applyAlignment="1">
      <alignment horizontal="center"/>
    </xf>
    <xf numFmtId="0" fontId="6" fillId="0" borderId="4" xfId="0" applyFont="1" applyBorder="1" applyAlignment="1">
      <alignment horizontal="center"/>
    </xf>
    <xf numFmtId="0" fontId="6" fillId="0" borderId="2" xfId="0" applyFont="1" applyBorder="1" applyAlignment="1">
      <alignment horizontal="center"/>
    </xf>
    <xf numFmtId="0" fontId="6" fillId="0" borderId="5" xfId="0" applyFont="1" applyBorder="1" applyAlignment="1">
      <alignment horizontal="center"/>
    </xf>
    <xf numFmtId="0" fontId="7" fillId="0" borderId="6" xfId="0" applyFont="1" applyBorder="1" applyAlignment="1">
      <alignment horizontal="center"/>
    </xf>
    <xf numFmtId="0" fontId="7" fillId="0" borderId="0" xfId="0" applyFont="1" applyBorder="1" applyAlignment="1">
      <alignment horizontal="center"/>
    </xf>
    <xf numFmtId="0" fontId="7" fillId="0" borderId="7" xfId="0" applyFont="1" applyBorder="1" applyAlignment="1">
      <alignment horizontal="center"/>
    </xf>
    <xf numFmtId="0" fontId="5" fillId="0" borderId="6" xfId="0" applyFont="1" applyBorder="1" applyAlignment="1">
      <alignment horizontal="center"/>
    </xf>
    <xf numFmtId="0" fontId="5" fillId="0" borderId="0"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3" xfId="0" applyFont="1" applyBorder="1" applyAlignment="1">
      <alignment horizontal="center"/>
    </xf>
    <xf numFmtId="0" fontId="5" fillId="0" borderId="9" xfId="0" applyFont="1" applyBorder="1" applyAlignment="1">
      <alignment horizontal="center"/>
    </xf>
  </cellXfs>
  <cellStyles count="3">
    <cellStyle name="Currency [0]" xfId="1" builtinId="7"/>
    <cellStyle name="Normal" xfId="0" builtinId="0"/>
    <cellStyle name="Percent" xfId="2" builtinId="5"/>
  </cellStyles>
  <dxfs count="2">
    <dxf>
      <numFmt numFmtId="165" formatCode="#,##0_ ;\-#,##0\ "/>
    </dxf>
    <dxf>
      <numFmt numFmtId="165" formatCode="#,##0_ ;\-#,##0\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Online Shop Management.xlsx]Pivot_Table!PivotTable1</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Total Penjualan per Wilayah</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34445432133658"/>
          <c:y val="0.17966013736078815"/>
          <c:w val="0.79792495800433405"/>
          <c:h val="0.6897964486540048"/>
        </c:manualLayout>
      </c:layout>
      <c:barChart>
        <c:barDir val="col"/>
        <c:grouping val="clustered"/>
        <c:varyColors val="0"/>
        <c:ser>
          <c:idx val="0"/>
          <c:order val="0"/>
          <c:tx>
            <c:strRef>
              <c:f>Pivot_Table!$B$6</c:f>
              <c:strCache>
                <c:ptCount val="1"/>
                <c:pt idx="0">
                  <c:v>Total</c:v>
                </c:pt>
              </c:strCache>
            </c:strRef>
          </c:tx>
          <c:spPr>
            <a:solidFill>
              <a:schemeClr val="tx2"/>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Pivot_Table!$A$7:$A$11</c:f>
              <c:strCache>
                <c:ptCount val="4"/>
                <c:pt idx="0">
                  <c:v>DKI Jakarta</c:v>
                </c:pt>
                <c:pt idx="1">
                  <c:v>Jawa Barat</c:v>
                </c:pt>
                <c:pt idx="2">
                  <c:v>Jawa Tengah</c:v>
                </c:pt>
                <c:pt idx="3">
                  <c:v>Jawa Timur</c:v>
                </c:pt>
              </c:strCache>
            </c:strRef>
          </c:cat>
          <c:val>
            <c:numRef>
              <c:f>Pivot_Table!$B$7:$B$11</c:f>
              <c:numCache>
                <c:formatCode>#,##0_ ;\-#,##0\ </c:formatCode>
                <c:ptCount val="4"/>
                <c:pt idx="0">
                  <c:v>362593000</c:v>
                </c:pt>
                <c:pt idx="1">
                  <c:v>539865000</c:v>
                </c:pt>
                <c:pt idx="2">
                  <c:v>142097000</c:v>
                </c:pt>
                <c:pt idx="3">
                  <c:v>306236000</c:v>
                </c:pt>
              </c:numCache>
            </c:numRef>
          </c:val>
          <c:extLst>
            <c:ext xmlns:c16="http://schemas.microsoft.com/office/drawing/2014/chart" uri="{C3380CC4-5D6E-409C-BE32-E72D297353CC}">
              <c16:uniqueId val="{00000000-CDBF-4F7F-8BEC-16ED5B7F59D2}"/>
            </c:ext>
          </c:extLst>
        </c:ser>
        <c:dLbls>
          <c:dLblPos val="outEnd"/>
          <c:showLegendKey val="0"/>
          <c:showVal val="1"/>
          <c:showCatName val="0"/>
          <c:showSerName val="0"/>
          <c:showPercent val="0"/>
          <c:showBubbleSize val="0"/>
        </c:dLbls>
        <c:gapWidth val="88"/>
        <c:overlap val="-27"/>
        <c:axId val="458739008"/>
        <c:axId val="243652000"/>
      </c:barChart>
      <c:catAx>
        <c:axId val="45873900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D"/>
                  <a:t>Wilayah</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43652000"/>
        <c:crosses val="autoZero"/>
        <c:auto val="1"/>
        <c:lblAlgn val="ctr"/>
        <c:lblOffset val="100"/>
        <c:noMultiLvlLbl val="0"/>
      </c:catAx>
      <c:valAx>
        <c:axId val="24365200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D"/>
                  <a:t>Total Penjualan (Rp)</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8739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Online Shop Management.xlsx]Pivot_Table!PivotTable2</c:name>
    <c:fmtId val="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3 Sales Berdasarkan Total Penjualan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solidFill>
              <a:schemeClr val="tx2">
                <a:lumMod val="20000"/>
                <a:lumOff val="80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Pivot_Table!$B$23</c:f>
              <c:strCache>
                <c:ptCount val="1"/>
                <c:pt idx="0">
                  <c:v>Total</c:v>
                </c:pt>
              </c:strCache>
            </c:strRef>
          </c:tx>
          <c:spPr>
            <a:solidFill>
              <a:schemeClr val="tx2"/>
            </a:solidFill>
            <a:ln>
              <a:noFill/>
            </a:ln>
            <a:effectLst/>
          </c:spPr>
          <c:invertIfNegative val="0"/>
          <c:dLbls>
            <c:spPr>
              <a:solidFill>
                <a:schemeClr val="tx2">
                  <a:lumMod val="20000"/>
                  <a:lumOff val="80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Pivot_Table!$A$24:$A$27</c:f>
              <c:strCache>
                <c:ptCount val="3"/>
                <c:pt idx="0">
                  <c:v>Sulantoni Irmawan</c:v>
                </c:pt>
                <c:pt idx="1">
                  <c:v>Bambang Ruwandi</c:v>
                </c:pt>
                <c:pt idx="2">
                  <c:v>Meini Sari</c:v>
                </c:pt>
              </c:strCache>
            </c:strRef>
          </c:cat>
          <c:val>
            <c:numRef>
              <c:f>Pivot_Table!$B$24:$B$27</c:f>
              <c:numCache>
                <c:formatCode>#,##0_ ;\-#,##0\ </c:formatCode>
                <c:ptCount val="3"/>
                <c:pt idx="0">
                  <c:v>371685000</c:v>
                </c:pt>
                <c:pt idx="1">
                  <c:v>257483000</c:v>
                </c:pt>
                <c:pt idx="2">
                  <c:v>253283000</c:v>
                </c:pt>
              </c:numCache>
            </c:numRef>
          </c:val>
          <c:extLst>
            <c:ext xmlns:c16="http://schemas.microsoft.com/office/drawing/2014/chart" uri="{C3380CC4-5D6E-409C-BE32-E72D297353CC}">
              <c16:uniqueId val="{00000000-2330-45C9-80EC-ACA746E33A1B}"/>
            </c:ext>
          </c:extLst>
        </c:ser>
        <c:dLbls>
          <c:dLblPos val="outEnd"/>
          <c:showLegendKey val="0"/>
          <c:showVal val="1"/>
          <c:showCatName val="0"/>
          <c:showSerName val="0"/>
          <c:showPercent val="0"/>
          <c:showBubbleSize val="0"/>
        </c:dLbls>
        <c:gapWidth val="116"/>
        <c:axId val="467528448"/>
        <c:axId val="458240816"/>
      </c:barChart>
      <c:catAx>
        <c:axId val="46752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8240816"/>
        <c:crosses val="autoZero"/>
        <c:auto val="1"/>
        <c:lblAlgn val="ctr"/>
        <c:lblOffset val="100"/>
        <c:noMultiLvlLbl val="0"/>
      </c:catAx>
      <c:valAx>
        <c:axId val="458240816"/>
        <c:scaling>
          <c:orientation val="minMax"/>
        </c:scaling>
        <c:delete val="0"/>
        <c:axPos val="b"/>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7528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48815</xdr:colOff>
      <xdr:row>0</xdr:row>
      <xdr:rowOff>32146</xdr:rowOff>
    </xdr:from>
    <xdr:to>
      <xdr:col>11</xdr:col>
      <xdr:colOff>438150</xdr:colOff>
      <xdr:row>15</xdr:row>
      <xdr:rowOff>0</xdr:rowOff>
    </xdr:to>
    <xdr:graphicFrame macro="">
      <xdr:nvGraphicFramePr>
        <xdr:cNvPr id="2" name="Chart 1">
          <a:extLst>
            <a:ext uri="{FF2B5EF4-FFF2-40B4-BE49-F238E27FC236}">
              <a16:creationId xmlns:a16="http://schemas.microsoft.com/office/drawing/2014/main" id="{39F36825-E72F-4A68-8949-EEA2D32DA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45825</xdr:colOff>
      <xdr:row>0</xdr:row>
      <xdr:rowOff>154949</xdr:rowOff>
    </xdr:from>
    <xdr:to>
      <xdr:col>1</xdr:col>
      <xdr:colOff>652852</xdr:colOff>
      <xdr:row>4</xdr:row>
      <xdr:rowOff>28574</xdr:rowOff>
    </xdr:to>
    <mc:AlternateContent xmlns:mc="http://schemas.openxmlformats.org/markup-compatibility/2006" xmlns:a14="http://schemas.microsoft.com/office/drawing/2010/main">
      <mc:Choice Requires="a14">
        <xdr:graphicFrame macro="">
          <xdr:nvGraphicFramePr>
            <xdr:cNvPr id="6" name="Months">
              <a:extLst>
                <a:ext uri="{FF2B5EF4-FFF2-40B4-BE49-F238E27FC236}">
                  <a16:creationId xmlns:a16="http://schemas.microsoft.com/office/drawing/2014/main" id="{88D8F306-96B9-4662-92D5-AD381CF588E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5825" y="154949"/>
              <a:ext cx="1797652" cy="6190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157369</xdr:colOff>
      <xdr:row>16</xdr:row>
      <xdr:rowOff>171035</xdr:rowOff>
    </xdr:from>
    <xdr:to>
      <xdr:col>14</xdr:col>
      <xdr:colOff>331304</xdr:colOff>
      <xdr:row>32</xdr:row>
      <xdr:rowOff>165651</xdr:rowOff>
    </xdr:to>
    <xdr:graphicFrame macro="">
      <xdr:nvGraphicFramePr>
        <xdr:cNvPr id="7" name="Chart 6">
          <a:extLst>
            <a:ext uri="{FF2B5EF4-FFF2-40B4-BE49-F238E27FC236}">
              <a16:creationId xmlns:a16="http://schemas.microsoft.com/office/drawing/2014/main" id="{3DE05703-6ECB-4157-90E0-868670853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lia Khairunnisa" refreshedDate="46219.50355011574" createdVersion="6" refreshedVersion="6" minRefreshableVersion="3" recordCount="61" xr:uid="{06BCCC22-A7D0-4735-B7A5-187A613888EB}">
  <cacheSource type="worksheet">
    <worksheetSource ref="A2:Q63" sheet="Order_Log"/>
  </cacheSource>
  <cacheFields count="18">
    <cacheField name="ID TRANSAKSI" numFmtId="0">
      <sharedItems/>
    </cacheField>
    <cacheField name="TANGGAL" numFmtId="14">
      <sharedItems containsSemiMixedTypes="0" containsNonDate="0" containsDate="1" containsString="0" minDate="2025-03-01T00:00:00" maxDate="2025-06-01T00:00:00" count="55">
        <d v="2025-03-01T00:00:00"/>
        <d v="2025-03-02T00:00:00"/>
        <d v="2025-03-03T00:00:00"/>
        <d v="2025-03-04T00:00:00"/>
        <d v="2025-03-05T00:00:00"/>
        <d v="2025-03-07T00:00:00"/>
        <d v="2025-03-15T00:00:00"/>
        <d v="2025-03-16T00:00:00"/>
        <d v="2025-03-17T00:00:00"/>
        <d v="2025-03-18T00:00:00"/>
        <d v="2025-03-19T00:00:00"/>
        <d v="2025-03-20T00:00:00"/>
        <d v="2025-03-25T00:00:00"/>
        <d v="2025-03-26T00:00:00"/>
        <d v="2025-03-27T00:00:00"/>
        <d v="2025-03-28T00:00:00"/>
        <d v="2025-03-29T00:00:00"/>
        <d v="2025-03-30T00:00:00"/>
        <d v="2025-03-31T00:00:00"/>
        <d v="2025-04-01T00:00:00"/>
        <d v="2025-04-02T00:00:00"/>
        <d v="2025-04-03T00:00:00"/>
        <d v="2025-04-04T00:00:00"/>
        <d v="2025-04-05T00:00:00"/>
        <d v="2025-04-06T00:00:00"/>
        <d v="2025-04-10T00:00:00"/>
        <d v="2025-04-15T00:00:00"/>
        <d v="2025-04-19T00:00:00"/>
        <d v="2025-04-20T00:00:00"/>
        <d v="2025-04-21T00:00:00"/>
        <d v="2025-04-25T00:00:00"/>
        <d v="2025-04-27T00:00:00"/>
        <d v="2025-04-28T00:00:00"/>
        <d v="2025-04-29T00:00:00"/>
        <d v="2025-04-30T00:00:00"/>
        <d v="2025-05-01T00:00:00"/>
        <d v="2025-05-02T00:00:00"/>
        <d v="2025-05-03T00:00:00"/>
        <d v="2025-05-04T00:00:00"/>
        <d v="2025-05-05T00:00:00"/>
        <d v="2025-05-06T00:00:00"/>
        <d v="2025-05-08T00:00:00"/>
        <d v="2025-05-10T00:00:00"/>
        <d v="2025-05-15T00:00:00"/>
        <d v="2025-05-18T00:00:00"/>
        <d v="2025-05-20T00:00:00"/>
        <d v="2025-05-21T00:00:00"/>
        <d v="2025-05-22T00:00:00"/>
        <d v="2025-05-23T00:00:00"/>
        <d v="2025-05-26T00:00:00"/>
        <d v="2025-05-27T00:00:00"/>
        <d v="2025-05-28T00:00:00"/>
        <d v="2025-05-29T00:00:00"/>
        <d v="2025-05-30T00:00:00"/>
        <d v="2025-05-31T00:00:00"/>
      </sharedItems>
      <fieldGroup par="17" base="1">
        <rangePr groupBy="days" startDate="2025-03-01T00:00:00" endDate="2025-06-01T00:00:00"/>
        <groupItems count="368">
          <s v="&lt;01/03/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6/2025"/>
        </groupItems>
      </fieldGroup>
    </cacheField>
    <cacheField name="SALES" numFmtId="0">
      <sharedItems count="7">
        <s v="Sulantoni Irmawan"/>
        <s v="Tina Anggraeni"/>
        <s v="Monmon Purwanto"/>
        <s v="Keno Barak"/>
        <s v="Bambang Ruwandi"/>
        <s v="Meini Sari"/>
        <s v="Maya Safitri"/>
      </sharedItems>
    </cacheField>
    <cacheField name="KATEGORI PRODUK" numFmtId="0">
      <sharedItems/>
    </cacheField>
    <cacheField name="NAMA PRODUK" numFmtId="0">
      <sharedItems/>
    </cacheField>
    <cacheField name="JUMLAH TERJUAL" numFmtId="0">
      <sharedItems containsSemiMixedTypes="0" containsString="0" containsNumber="1" containsInteger="1" minValue="1" maxValue="10"/>
    </cacheField>
    <cacheField name="HARGA SATUAN" numFmtId="164">
      <sharedItems containsSemiMixedTypes="0" containsString="0" containsNumber="1" containsInteger="1" minValue="150000" maxValue="14999000"/>
    </cacheField>
    <cacheField name="TOTAL PENJUALAN" numFmtId="164">
      <sharedItems containsSemiMixedTypes="0" containsString="0" containsNumber="1" containsInteger="1" minValue="150000" maxValue="104993000"/>
    </cacheField>
    <cacheField name="DISKON %" numFmtId="9">
      <sharedItems containsSemiMixedTypes="0" containsString="0" containsNumber="1" minValue="0" maxValue="0.08"/>
    </cacheField>
    <cacheField name="TOTAL SETELAH DISKON" numFmtId="164">
      <sharedItems containsSemiMixedTypes="0" containsString="0" containsNumber="1" containsInteger="1" minValue="150000" maxValue="98693420"/>
    </cacheField>
    <cacheField name="PPN (11%)" numFmtId="164">
      <sharedItems containsSemiMixedTypes="0" containsString="0" containsNumber="1" minValue="16500" maxValue="10856276.199999999"/>
    </cacheField>
    <cacheField name="TOTAL AKHIR" numFmtId="164">
      <sharedItems containsSemiMixedTypes="0" containsString="0" containsNumber="1" minValue="166500" maxValue="109549696.2"/>
    </cacheField>
    <cacheField name="PEMBAYARAN" numFmtId="0">
      <sharedItems/>
    </cacheField>
    <cacheField name="NAMA PELANGGAN" numFmtId="0">
      <sharedItems/>
    </cacheField>
    <cacheField name="WILAYAH" numFmtId="0">
      <sharedItems count="4">
        <s v="Jawa Barat"/>
        <s v="DKI Jakarta"/>
        <s v="Jawa Tengah"/>
        <s v="Jawa Timur"/>
      </sharedItems>
    </cacheField>
    <cacheField name="PENGIRIMAN/KURIR" numFmtId="0">
      <sharedItems/>
    </cacheField>
    <cacheField name="LAMA PENGIRIMAN" numFmtId="0">
      <sharedItems containsSemiMixedTypes="0" containsString="0" containsNumber="1" containsInteger="1" minValue="2" maxValue="3"/>
    </cacheField>
    <cacheField name="Months" numFmtId="0" databaseField="0">
      <fieldGroup base="1">
        <rangePr groupBy="months" startDate="2025-03-01T00:00:00" endDate="2025-06-01T00:00:00"/>
        <groupItems count="14">
          <s v="&lt;01/03/2025"/>
          <s v="Jan"/>
          <s v="Feb"/>
          <s v="Mar"/>
          <s v="Apr"/>
          <s v="May"/>
          <s v="Jun"/>
          <s v="Jul"/>
          <s v="Aug"/>
          <s v="Sep"/>
          <s v="Oct"/>
          <s v="Nov"/>
          <s v="Dec"/>
          <s v="&gt;01/06/2025"/>
        </groupItems>
      </fieldGroup>
    </cacheField>
  </cacheFields>
  <extLst>
    <ext xmlns:x14="http://schemas.microsoft.com/office/spreadsheetml/2009/9/main" uri="{725AE2AE-9491-48be-B2B4-4EB974FC3084}">
      <x14:pivotCacheDefinition pivotCacheId="1773960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JBR-L01/LI-JN/C"/>
    <x v="0"/>
    <x v="0"/>
    <s v="LAPTOP"/>
    <s v="Lenovo Idepad"/>
    <n v="3"/>
    <n v="8500000"/>
    <n v="25500000"/>
    <n v="0"/>
    <n v="25500000"/>
    <n v="2805000"/>
    <n v="28305000"/>
    <s v="COD/Cash"/>
    <s v="LOKA WIRANTA"/>
    <x v="0"/>
    <s v="Kurir J&amp;T"/>
    <n v="3"/>
  </r>
  <r>
    <s v="DKI-L01/AA-J&amp;/G"/>
    <x v="1"/>
    <x v="1"/>
    <s v="LAPTOP"/>
    <s v="Acer Aspire 5"/>
    <n v="2"/>
    <n v="9000000"/>
    <n v="18000000"/>
    <n v="0.08"/>
    <n v="16560000"/>
    <n v="1821600"/>
    <n v="18381600"/>
    <s v="GoPay/Non-COD"/>
    <s v="HANA LIN"/>
    <x v="1"/>
    <s v="Kurir J&amp;T"/>
    <n v="3"/>
  </r>
  <r>
    <s v="JWH-A02/LM-SC/D"/>
    <x v="2"/>
    <x v="2"/>
    <s v="AKSESORIS"/>
    <s v="Logitech Mouse"/>
    <n v="1"/>
    <n v="150000"/>
    <n v="150000"/>
    <n v="0"/>
    <n v="150000"/>
    <n v="16500"/>
    <n v="166500"/>
    <s v="Dana/Non-COD"/>
    <s v="SANITA VELORA"/>
    <x v="2"/>
    <s v="SiCepat"/>
    <n v="2"/>
  </r>
  <r>
    <s v="JWR-A02/AP-J&amp;/C"/>
    <x v="3"/>
    <x v="3"/>
    <s v="AKSESORIS"/>
    <s v="AirPods Gen-2"/>
    <n v="5"/>
    <n v="1899000"/>
    <n v="9495000"/>
    <n v="0.03"/>
    <n v="9210150"/>
    <n v="1013116.5"/>
    <n v="10223266.5"/>
    <s v="COD/Cash"/>
    <s v="VANYA RUSELINA"/>
    <x v="3"/>
    <s v="Kurir J&amp;T"/>
    <n v="3"/>
  </r>
  <r>
    <s v="DKI-S03/SM-J&amp;-C"/>
    <x v="4"/>
    <x v="4"/>
    <s v="SMARTPHONE"/>
    <s v="Samsung A15"/>
    <n v="4"/>
    <n v="2200000"/>
    <n v="8800000"/>
    <n v="0"/>
    <n v="8800000"/>
    <n v="968000"/>
    <n v="9768000"/>
    <s v="COD/Cash"/>
    <s v="REZA TARMOKO"/>
    <x v="1"/>
    <s v="Kurir J&amp;T"/>
    <n v="3"/>
  </r>
  <r>
    <s v="JBR-S03/IP-JN/D"/>
    <x v="5"/>
    <x v="5"/>
    <s v="SMARTPHONE"/>
    <s v="Iphone 16 128GB"/>
    <n v="7"/>
    <n v="14999000"/>
    <n v="104993000"/>
    <n v="0.06"/>
    <n v="98693420"/>
    <n v="10856276.199999999"/>
    <n v="109549696.2"/>
    <s v="Dana/Non-COD"/>
    <s v="DARGO MAWESTA"/>
    <x v="0"/>
    <s v="Kurir J&amp;T"/>
    <n v="3"/>
  </r>
  <r>
    <s v="JBR-A02/LM-SC/C"/>
    <x v="6"/>
    <x v="6"/>
    <s v="AKSESORIS"/>
    <s v="Logitech Mouse"/>
    <n v="3"/>
    <n v="150000"/>
    <n v="450000"/>
    <n v="0"/>
    <n v="450000"/>
    <n v="49500"/>
    <n v="499500"/>
    <s v="COD/Cash"/>
    <s v="TISYA AVENDRA"/>
    <x v="0"/>
    <s v="SiCepat"/>
    <n v="2"/>
  </r>
  <r>
    <s v="JWH-S03/SM-SC/D"/>
    <x v="7"/>
    <x v="3"/>
    <s v="SMARTPHONE"/>
    <s v="Samsung A15"/>
    <n v="2"/>
    <n v="2200000"/>
    <n v="4400000"/>
    <n v="0"/>
    <n v="4400000"/>
    <n v="484000"/>
    <n v="4884000"/>
    <s v="Dana/Non-COD"/>
    <s v="KARYO LIMANTARA"/>
    <x v="2"/>
    <s v="SiCepat"/>
    <n v="2"/>
  </r>
  <r>
    <s v="JWR-L01/LI-J&amp;/G"/>
    <x v="7"/>
    <x v="2"/>
    <s v="LAPTOP"/>
    <s v="Lenovo Idepad"/>
    <n v="6"/>
    <n v="8500000"/>
    <n v="51000000"/>
    <n v="0"/>
    <n v="51000000"/>
    <n v="5610000"/>
    <n v="56610000"/>
    <s v="GoPay/Non-COD"/>
    <s v="JEFRO MALANTARA"/>
    <x v="3"/>
    <s v="Kurir J&amp;T"/>
    <n v="3"/>
  </r>
  <r>
    <s v="JWR-L01/LI-JN/C"/>
    <x v="7"/>
    <x v="1"/>
    <s v="LAPTOP"/>
    <s v="Lenovo Idepad"/>
    <n v="3"/>
    <n v="8500000"/>
    <n v="25500000"/>
    <n v="0"/>
    <n v="25500000"/>
    <n v="2805000"/>
    <n v="28305000"/>
    <s v="COD/Cash"/>
    <s v="BINAR KENDARTA"/>
    <x v="3"/>
    <s v="Kurir J&amp;T"/>
    <n v="3"/>
  </r>
  <r>
    <s v="JWR-L01/LI-SC/D"/>
    <x v="8"/>
    <x v="5"/>
    <s v="LAPTOP"/>
    <s v="Lenovo Idepad"/>
    <n v="4"/>
    <n v="8500000"/>
    <n v="34000000"/>
    <n v="0"/>
    <n v="34000000"/>
    <n v="3740000"/>
    <n v="37740000"/>
    <s v="Dana/Non-COD"/>
    <s v="CHIKA YURESTA"/>
    <x v="3"/>
    <s v="SiCepat"/>
    <n v="2"/>
  </r>
  <r>
    <s v="JWH-S03/SM-J&amp;/D"/>
    <x v="9"/>
    <x v="0"/>
    <s v="SMARTPHONE"/>
    <s v="Samsung A15"/>
    <n v="1"/>
    <n v="2200000"/>
    <n v="2200000"/>
    <n v="0"/>
    <n v="2200000"/>
    <n v="242000"/>
    <n v="2442000"/>
    <s v="Dana/Non-COD"/>
    <s v="MEI ZHANG"/>
    <x v="2"/>
    <s v="Kurir J&amp;T"/>
    <n v="3"/>
  </r>
  <r>
    <s v="DKI-A02/LM-J&amp;/D"/>
    <x v="10"/>
    <x v="3"/>
    <s v="AKSESORIS"/>
    <s v="Logitech Mouse"/>
    <n v="1"/>
    <n v="150000"/>
    <n v="150000"/>
    <n v="0"/>
    <n v="150000"/>
    <n v="16500"/>
    <n v="166500"/>
    <s v="Dana/Non-COD"/>
    <s v="LIU SHISHI"/>
    <x v="1"/>
    <s v="Kurir J&amp;T"/>
    <n v="3"/>
  </r>
  <r>
    <s v="JBR-S03/IP-JN/G"/>
    <x v="11"/>
    <x v="4"/>
    <s v="SMARTPHONE"/>
    <s v="Iphone 16 128GB"/>
    <n v="2"/>
    <n v="14999000"/>
    <n v="29998000"/>
    <n v="0.06"/>
    <n v="28198120"/>
    <n v="3101793.2"/>
    <n v="31299913.199999999"/>
    <s v="GoPay/Non-COD"/>
    <s v="ZHANG ROUNAN"/>
    <x v="0"/>
    <s v="Kurir J&amp;T"/>
    <n v="3"/>
  </r>
  <r>
    <s v="JBR-S03/SM-J&amp;/D"/>
    <x v="12"/>
    <x v="6"/>
    <s v="SMARTPHONE"/>
    <s v="Samsung A15"/>
    <n v="1"/>
    <n v="2200000"/>
    <n v="2200000"/>
    <n v="0"/>
    <n v="2200000"/>
    <n v="242000"/>
    <n v="2442000"/>
    <s v="Dana/Non-COD"/>
    <s v="SONG ZUER"/>
    <x v="0"/>
    <s v="Kurir J&amp;T"/>
    <n v="3"/>
  </r>
  <r>
    <s v="JBR-L01/AA-J&amp;/C"/>
    <x v="13"/>
    <x v="6"/>
    <s v="LAPTOP"/>
    <s v="Acer Aspire 5"/>
    <n v="1"/>
    <n v="9000000"/>
    <n v="9000000"/>
    <n v="0.08"/>
    <n v="8280000"/>
    <n v="910800"/>
    <n v="9190800"/>
    <s v="COD/Cash"/>
    <s v="VARO GHANTIRA"/>
    <x v="0"/>
    <s v="Kurir J&amp;T"/>
    <n v="3"/>
  </r>
  <r>
    <s v="DKI-A02/AP-SC/C"/>
    <x v="14"/>
    <x v="2"/>
    <s v="AKSESORIS"/>
    <s v="AirPods Gen-2"/>
    <n v="1"/>
    <n v="1899000"/>
    <n v="1899000"/>
    <n v="0.03"/>
    <n v="1842030"/>
    <n v="202623.3"/>
    <n v="2044653.3"/>
    <s v="COD/Cash"/>
    <s v="ZHANG YUNLONG"/>
    <x v="1"/>
    <s v="SiCepat"/>
    <n v="2"/>
  </r>
  <r>
    <s v="JWH-A02/LM-SC/C"/>
    <x v="15"/>
    <x v="0"/>
    <s v="AKSESORIS"/>
    <s v="Logitech Mouse"/>
    <n v="3"/>
    <n v="150000"/>
    <n v="450000"/>
    <n v="0"/>
    <n v="450000"/>
    <n v="49500"/>
    <n v="499500"/>
    <s v="COD/Cash"/>
    <s v="BAI JINTING"/>
    <x v="2"/>
    <s v="SiCepat"/>
    <n v="2"/>
  </r>
  <r>
    <s v="JWR-A02/LM-SC/C"/>
    <x v="16"/>
    <x v="6"/>
    <s v="AKSESORIS"/>
    <s v="Logitech Mouse"/>
    <n v="3"/>
    <n v="150000"/>
    <n v="450000"/>
    <n v="0"/>
    <n v="450000"/>
    <n v="49500"/>
    <n v="499500"/>
    <s v="COD/Cash"/>
    <s v="LIU YUNING"/>
    <x v="3"/>
    <s v="SiCepat"/>
    <n v="2"/>
  </r>
  <r>
    <s v="DKI-S03/IP-SC/D"/>
    <x v="17"/>
    <x v="4"/>
    <s v="SMARTPHONE"/>
    <s v="Iphone 16 128GB"/>
    <n v="2"/>
    <n v="14999000"/>
    <n v="29998000"/>
    <n v="0.06"/>
    <n v="28198120"/>
    <n v="3101793.2"/>
    <n v="31299913.199999999"/>
    <s v="Dana/Non-COD"/>
    <s v="SELVI MAHARENTIYA"/>
    <x v="1"/>
    <s v="SiCepat"/>
    <n v="2"/>
  </r>
  <r>
    <s v="JBR-A02/AP-JN/C"/>
    <x v="18"/>
    <x v="5"/>
    <s v="AKSESORIS"/>
    <s v="AirPods Gen-2"/>
    <n v="2"/>
    <n v="1899000"/>
    <n v="3798000"/>
    <n v="0.03"/>
    <n v="3684060"/>
    <n v="405246.6"/>
    <n v="4089306.6"/>
    <s v="COD/Cash"/>
    <s v="ETHAN CHALLISTER"/>
    <x v="0"/>
    <s v="Kurir J&amp;T"/>
    <n v="3"/>
  </r>
  <r>
    <s v="JBR-S03/IP-SC/D"/>
    <x v="19"/>
    <x v="0"/>
    <s v="SMARTPHONE"/>
    <s v="Iphone 16 128GB"/>
    <n v="6"/>
    <n v="14999000"/>
    <n v="89994000"/>
    <n v="0.06"/>
    <n v="84594360"/>
    <n v="9305379.5999999996"/>
    <n v="93899739.599999994"/>
    <s v="Dana/Non-COD"/>
    <s v="DENO ABHYAKA"/>
    <x v="0"/>
    <s v="SiCepat"/>
    <n v="2"/>
  </r>
  <r>
    <s v="JBR-L01/LI/SC/G"/>
    <x v="20"/>
    <x v="6"/>
    <s v="LAPTOP"/>
    <s v="Lenovo Idepad"/>
    <n v="5"/>
    <n v="8500000"/>
    <n v="42500000"/>
    <n v="0"/>
    <n v="42500000"/>
    <n v="4675000"/>
    <n v="47175000"/>
    <s v="GoPay/Non-COD"/>
    <s v="LINDA SERWASTI"/>
    <x v="0"/>
    <s v="SiCepat"/>
    <n v="2"/>
  </r>
  <r>
    <s v="DKI-L01/LI-J&amp;/C"/>
    <x v="21"/>
    <x v="2"/>
    <s v="LAPTOP"/>
    <s v="Lenovo Idepad"/>
    <n v="4"/>
    <n v="8500000"/>
    <n v="34000000"/>
    <n v="0"/>
    <n v="34000000"/>
    <n v="3740000"/>
    <n v="37740000"/>
    <s v="COD/Cash"/>
    <s v="CALVIN TRASMOKO"/>
    <x v="1"/>
    <s v="Kurir J&amp;T"/>
    <n v="3"/>
  </r>
  <r>
    <s v="JBR-A02/AP-J&amp;/D"/>
    <x v="22"/>
    <x v="0"/>
    <s v="AKSESORIS"/>
    <s v="AirPods Gen-2"/>
    <n v="2"/>
    <n v="1899000"/>
    <n v="3798000"/>
    <n v="0.03"/>
    <n v="3684060"/>
    <n v="405246.6"/>
    <n v="4089306.6"/>
    <s v="Dana/Non-COD"/>
    <s v="YAVITA ORLENZA"/>
    <x v="0"/>
    <s v="Kurir J&amp;T"/>
    <n v="3"/>
  </r>
  <r>
    <s v="JWH-L01/AA-J&amp;/D"/>
    <x v="22"/>
    <x v="2"/>
    <s v="LAPTOP"/>
    <s v="Acer Aspire 5"/>
    <n v="1"/>
    <n v="9000000"/>
    <n v="9000000"/>
    <n v="0.08"/>
    <n v="8280000"/>
    <n v="910800"/>
    <n v="9190800"/>
    <s v="Dana/Non-COD"/>
    <s v="GALAN MERDANA"/>
    <x v="2"/>
    <s v="Kurir J&amp;T"/>
    <n v="3"/>
  </r>
  <r>
    <s v="DKI-A02/LM-J&amp;-G"/>
    <x v="23"/>
    <x v="3"/>
    <s v="AKSESORIS"/>
    <s v="Logitech Mouse"/>
    <n v="1"/>
    <n v="150000"/>
    <n v="150000"/>
    <n v="0"/>
    <n v="150000"/>
    <n v="16500"/>
    <n v="166500"/>
    <s v="GoPay/Non-COD"/>
    <s v="SYIFA ANTAVERA"/>
    <x v="1"/>
    <s v="Kurir J&amp;T"/>
    <n v="3"/>
  </r>
  <r>
    <s v="DKI-S03/IP-J&amp;-C"/>
    <x v="24"/>
    <x v="1"/>
    <s v="SMARTPHONE"/>
    <s v="Iphone 16 128GB"/>
    <n v="1"/>
    <n v="14999000"/>
    <n v="14999000"/>
    <n v="0.06"/>
    <n v="14099060"/>
    <n v="1550896.6"/>
    <n v="15649956.6"/>
    <s v="COD/Cash"/>
    <s v="NIRA ZALINDRA"/>
    <x v="1"/>
    <s v="Kurir J&amp;T"/>
    <n v="3"/>
  </r>
  <r>
    <s v="JBR-S03/IP-JN/G"/>
    <x v="25"/>
    <x v="0"/>
    <s v="SMARTPHONE"/>
    <s v="Iphone 16 128GB"/>
    <n v="2"/>
    <n v="14999000"/>
    <n v="29998000"/>
    <n v="0.06"/>
    <n v="28198120"/>
    <n v="3101793.2"/>
    <n v="31299913.199999999"/>
    <s v="GoPay/Non-COD"/>
    <s v="LIAM HARGROVE"/>
    <x v="0"/>
    <s v="Kurir J&amp;T"/>
    <n v="3"/>
  </r>
  <r>
    <s v="JWR-A02/AP-SC/C"/>
    <x v="26"/>
    <x v="6"/>
    <s v="AKSESORIS"/>
    <s v="AirPods Gen-2"/>
    <n v="3"/>
    <n v="1899000"/>
    <n v="5697000"/>
    <n v="0.03"/>
    <n v="5526090"/>
    <n v="607869.9"/>
    <n v="6133959.9000000004"/>
    <s v="COD/Cash"/>
    <s v="YICHEN LUO"/>
    <x v="3"/>
    <s v="SiCepat"/>
    <n v="2"/>
  </r>
  <r>
    <s v="JWR-S03/SM-JN/G"/>
    <x v="27"/>
    <x v="3"/>
    <s v="SMARTPHONE"/>
    <s v="Samsung A15"/>
    <n v="4"/>
    <n v="2200000"/>
    <n v="8800000"/>
    <n v="0"/>
    <n v="8800000"/>
    <n v="968000"/>
    <n v="9768000"/>
    <s v="GoPay/Non-COD"/>
    <s v="CHENG XIAO"/>
    <x v="3"/>
    <s v="Kurir J&amp;T"/>
    <n v="3"/>
  </r>
  <r>
    <s v="JWH-L01/AA-JN/C"/>
    <x v="28"/>
    <x v="5"/>
    <s v="LAPTOP"/>
    <s v="Acer Aspire 5"/>
    <n v="3"/>
    <n v="9000000"/>
    <n v="27000000"/>
    <n v="0.08"/>
    <n v="24840000"/>
    <n v="2732400"/>
    <n v="27572400"/>
    <s v="COD/Cash"/>
    <s v="XU KAI"/>
    <x v="2"/>
    <s v="Kurir J&amp;T"/>
    <n v="3"/>
  </r>
  <r>
    <s v="DKI-L01/AA-J&amp;/C"/>
    <x v="29"/>
    <x v="2"/>
    <s v="LAPTOP"/>
    <s v="Acer Aspire 5"/>
    <n v="5"/>
    <n v="9000000"/>
    <n v="45000000"/>
    <n v="0.08"/>
    <n v="41400000"/>
    <n v="4554000"/>
    <n v="45954000"/>
    <s v="COD/Cash"/>
    <s v="SONG WEI LONG"/>
    <x v="1"/>
    <s v="Kurir J&amp;T"/>
    <n v="3"/>
  </r>
  <r>
    <s v="DKI-A02/LM-SC/G"/>
    <x v="30"/>
    <x v="1"/>
    <s v="AKSESORIS"/>
    <s v="Logitech Mouse"/>
    <n v="2"/>
    <n v="150000"/>
    <n v="300000"/>
    <n v="0"/>
    <n v="300000"/>
    <n v="33000"/>
    <n v="333000"/>
    <s v="GoPay/Non-COD"/>
    <s v="PUTRI MAWESTI"/>
    <x v="1"/>
    <s v="SiCepat"/>
    <n v="2"/>
  </r>
  <r>
    <s v="JBR-S03/SM-J&amp;/C"/>
    <x v="31"/>
    <x v="4"/>
    <s v="SMARTPHONE"/>
    <s v="Samsung A15"/>
    <n v="7"/>
    <n v="2200000"/>
    <n v="15400000"/>
    <n v="0"/>
    <n v="15400000"/>
    <n v="1694000"/>
    <n v="17094000"/>
    <s v="COD/Cash"/>
    <s v="MAWAR INDAH"/>
    <x v="0"/>
    <s v="Kurir J&amp;T"/>
    <n v="3"/>
  </r>
  <r>
    <s v="DKI-L01/AA-J&amp;/G"/>
    <x v="32"/>
    <x v="0"/>
    <s v="LAPTOP"/>
    <s v="Acer Aspire 5"/>
    <n v="10"/>
    <n v="9000000"/>
    <n v="90000000"/>
    <n v="0.08"/>
    <n v="82800000"/>
    <n v="9108000"/>
    <n v="91908000"/>
    <s v="GoPay/Non-COD"/>
    <s v="MALVIN SUHENDAR"/>
    <x v="1"/>
    <s v="Kurir J&amp;T"/>
    <n v="3"/>
  </r>
  <r>
    <s v="DKI-A02/LM-JN/G"/>
    <x v="33"/>
    <x v="4"/>
    <s v="AKSESORIS"/>
    <s v="Logitech Mouse"/>
    <n v="4"/>
    <n v="150000"/>
    <n v="600000"/>
    <n v="0"/>
    <n v="600000"/>
    <n v="66000"/>
    <n v="666000"/>
    <s v="GoPay/Non-COD"/>
    <s v="PINUTIAMI"/>
    <x v="1"/>
    <s v="Kurir J&amp;T"/>
    <n v="3"/>
  </r>
  <r>
    <s v="JBR-S03/IP-SC/C"/>
    <x v="34"/>
    <x v="4"/>
    <s v="SMARTPHONE"/>
    <s v="Iphone 16 128GB"/>
    <n v="3"/>
    <n v="14999000"/>
    <n v="44997000"/>
    <n v="0.06"/>
    <n v="42297180"/>
    <n v="4652689.8"/>
    <n v="46949869.799999997"/>
    <s v="COD/Cash"/>
    <s v="NASWENDA"/>
    <x v="0"/>
    <s v="SiCepat"/>
    <n v="2"/>
  </r>
  <r>
    <s v="JWH-L01/AA-JN/G"/>
    <x v="35"/>
    <x v="5"/>
    <s v="LAPTOP"/>
    <s v="Acer Aspire 5"/>
    <n v="2"/>
    <n v="9000000"/>
    <n v="18000000"/>
    <n v="0.08"/>
    <n v="16560000"/>
    <n v="1821600"/>
    <n v="18381600"/>
    <s v="GoPay/Non-COD"/>
    <s v="KUMALA INTAN"/>
    <x v="2"/>
    <s v="Kurir J&amp;T"/>
    <n v="3"/>
  </r>
  <r>
    <s v="JWH-L01/LI-SC/D"/>
    <x v="35"/>
    <x v="6"/>
    <s v="LAPTOP"/>
    <s v="Lenovo Idepad"/>
    <n v="5"/>
    <n v="8500000"/>
    <n v="42500000"/>
    <n v="0"/>
    <n v="42500000"/>
    <n v="4675000"/>
    <n v="47175000"/>
    <s v="Dana/Non-COD"/>
    <s v="WANG AYUN"/>
    <x v="2"/>
    <s v="SiCepat"/>
    <n v="2"/>
  </r>
  <r>
    <s v="JWR-L01/AA-SC/C"/>
    <x v="35"/>
    <x v="2"/>
    <s v="LAPTOP"/>
    <s v="Acer Aspire 5"/>
    <n v="4"/>
    <n v="9000000"/>
    <n v="36000000"/>
    <n v="0.08"/>
    <n v="33120000"/>
    <n v="3643200"/>
    <n v="36763200"/>
    <s v="COD/Cash"/>
    <s v="JU JINGYI"/>
    <x v="3"/>
    <s v="SiCepat"/>
    <n v="2"/>
  </r>
  <r>
    <s v="JBR-L01/LI-JN/C"/>
    <x v="36"/>
    <x v="3"/>
    <s v="LAPTOP"/>
    <s v="Lenovo Idepad"/>
    <n v="2"/>
    <n v="8500000"/>
    <n v="17000000"/>
    <n v="0"/>
    <n v="17000000"/>
    <n v="1870000"/>
    <n v="18870000"/>
    <s v="COD/Cash"/>
    <s v="CHEN DULIN"/>
    <x v="0"/>
    <s v="Kurir J&amp;T"/>
    <n v="3"/>
  </r>
  <r>
    <s v="DKI-S03/SM-J&amp;-C"/>
    <x v="37"/>
    <x v="1"/>
    <s v="SMARTPHONE"/>
    <s v="Samsung A15"/>
    <n v="1"/>
    <n v="2200000"/>
    <n v="2200000"/>
    <n v="0"/>
    <n v="2200000"/>
    <n v="242000"/>
    <n v="2442000"/>
    <s v="COD/Cash"/>
    <s v="HOU NEO"/>
    <x v="1"/>
    <s v="Kurir J&amp;T"/>
    <n v="3"/>
  </r>
  <r>
    <s v="JBR-L01/AA-JN/D"/>
    <x v="38"/>
    <x v="0"/>
    <s v="LAPTOP"/>
    <s v="Acer Aspire 5"/>
    <n v="1"/>
    <n v="9000000"/>
    <n v="9000000"/>
    <n v="0.08"/>
    <n v="8280000"/>
    <n v="910800"/>
    <n v="9190800"/>
    <s v="Dana/Non-COD"/>
    <s v="ZHANG LIEHE"/>
    <x v="0"/>
    <s v="Kurir J&amp;T"/>
    <n v="3"/>
  </r>
  <r>
    <s v="JBR-S03/IP-J&amp;/G"/>
    <x v="39"/>
    <x v="4"/>
    <s v="SMARTPHONE"/>
    <s v="Iphone 16 128GB"/>
    <n v="1"/>
    <n v="14999000"/>
    <n v="14999000"/>
    <n v="0.06"/>
    <n v="14099060"/>
    <n v="1550896.6"/>
    <n v="15649956.6"/>
    <s v="GoPay/Non-COD"/>
    <s v="DILRABA"/>
    <x v="0"/>
    <s v="Kurir J&amp;T"/>
    <n v="3"/>
  </r>
  <r>
    <s v="DKI-S03/IP-JN/C"/>
    <x v="39"/>
    <x v="5"/>
    <s v="SMARTPHONE"/>
    <s v="Iphone 16 128GB"/>
    <n v="3"/>
    <n v="14999000"/>
    <n v="44997000"/>
    <n v="0.06"/>
    <n v="42297180"/>
    <n v="4652689.8"/>
    <n v="46949869.799999997"/>
    <s v="COD/Cash"/>
    <s v="MOUNTIEANI"/>
    <x v="1"/>
    <s v="Kurir J&amp;T"/>
    <n v="3"/>
  </r>
  <r>
    <s v="JWR-A02/LM-SC/C"/>
    <x v="40"/>
    <x v="2"/>
    <s v="AKSESORIS"/>
    <s v="Logitech Mouse"/>
    <n v="2"/>
    <n v="150000"/>
    <n v="300000"/>
    <n v="0"/>
    <n v="300000"/>
    <n v="33000"/>
    <n v="333000"/>
    <s v="COD/Cash"/>
    <s v="DINASWARA"/>
    <x v="3"/>
    <s v="SiCepat"/>
    <n v="2"/>
  </r>
  <r>
    <s v="JWH-S03/SM-SC/D"/>
    <x v="41"/>
    <x v="6"/>
    <s v="SMARTPHONE"/>
    <s v="Samsung A15"/>
    <n v="4"/>
    <n v="2200000"/>
    <n v="8800000"/>
    <n v="0"/>
    <n v="8800000"/>
    <n v="968000"/>
    <n v="9768000"/>
    <s v="Dana/Non-COD"/>
    <s v="TIAN XIWEI"/>
    <x v="2"/>
    <s v="SiCepat"/>
    <n v="2"/>
  </r>
  <r>
    <s v="JBR-A02/LM-J&amp;/G"/>
    <x v="42"/>
    <x v="0"/>
    <s v="AKSESORIS"/>
    <s v="Logitech Mouse"/>
    <n v="5"/>
    <n v="150000"/>
    <n v="750000"/>
    <n v="0"/>
    <n v="750000"/>
    <n v="82500"/>
    <n v="832500"/>
    <s v="GoPay/Non-COD"/>
    <s v="LI QIN"/>
    <x v="0"/>
    <s v="Kurir J&amp;T"/>
    <n v="3"/>
  </r>
  <r>
    <s v="DKI-L01/AA-JN/G"/>
    <x v="43"/>
    <x v="1"/>
    <s v="LAPTOP"/>
    <s v="Acer Aspire 5"/>
    <n v="6"/>
    <n v="9000000"/>
    <n v="54000000"/>
    <n v="0.08"/>
    <n v="49680000"/>
    <n v="5464800"/>
    <n v="55144800"/>
    <s v="GoPay/Non-COD"/>
    <s v="ZHANG BICHEN"/>
    <x v="1"/>
    <s v="Kurir J&amp;T"/>
    <n v="3"/>
  </r>
  <r>
    <s v="JWR-L01/AA-SC/C"/>
    <x v="44"/>
    <x v="0"/>
    <s v="LAPTOP"/>
    <s v="Acer Aspire 5"/>
    <n v="5"/>
    <n v="9000000"/>
    <n v="45000000"/>
    <n v="0.08"/>
    <n v="41400000"/>
    <n v="4554000"/>
    <n v="45954000"/>
    <s v="COD/Cash"/>
    <s v="SONG YUQI"/>
    <x v="3"/>
    <s v="SiCepat"/>
    <n v="2"/>
  </r>
  <r>
    <s v="JWH-S03/SM-J&amp;/D"/>
    <x v="45"/>
    <x v="2"/>
    <s v="SMARTPHONE"/>
    <s v="Samsung A15"/>
    <n v="3"/>
    <n v="2200000"/>
    <n v="6600000"/>
    <n v="0"/>
    <n v="6600000"/>
    <n v="726000"/>
    <n v="7326000"/>
    <s v="Dana/Non-COD"/>
    <s v="RICHARD LI"/>
    <x v="2"/>
    <s v="Kurir J&amp;T"/>
    <n v="3"/>
  </r>
  <r>
    <s v="JWH-L01/LI-SC/D"/>
    <x v="46"/>
    <x v="4"/>
    <s v="LAPTOP"/>
    <s v="Lenovo Idepad"/>
    <n v="2"/>
    <n v="8500000"/>
    <n v="17000000"/>
    <n v="0"/>
    <n v="17000000"/>
    <n v="1870000"/>
    <n v="18870000"/>
    <s v="Dana/Non-COD"/>
    <s v="LEO WU"/>
    <x v="2"/>
    <s v="SiCepat"/>
    <n v="2"/>
  </r>
  <r>
    <s v="DKI-L01/LI-SC/G"/>
    <x v="47"/>
    <x v="3"/>
    <s v="LAPTOP"/>
    <s v="Lenovo Idepad"/>
    <n v="1"/>
    <n v="8500000"/>
    <n v="8500000"/>
    <n v="0"/>
    <n v="8500000"/>
    <n v="935000"/>
    <n v="9435000"/>
    <s v="GoPay/Non-COD"/>
    <s v="MELATI PUTIH"/>
    <x v="1"/>
    <s v="SiCepat"/>
    <n v="2"/>
  </r>
  <r>
    <s v="JBR-A02/AP-JN/C"/>
    <x v="48"/>
    <x v="5"/>
    <s v="AKSESORIS"/>
    <s v="AirPods Gen-2"/>
    <n v="5"/>
    <n v="1899000"/>
    <n v="9495000"/>
    <n v="0.03"/>
    <n v="9210150"/>
    <n v="1013116.5"/>
    <n v="10223266.5"/>
    <s v="COD/Cash"/>
    <s v="NANO MURWANTO"/>
    <x v="0"/>
    <s v="Kurir J&amp;T"/>
    <n v="3"/>
  </r>
  <r>
    <s v="JBR-S03/SM-SC/D"/>
    <x v="49"/>
    <x v="5"/>
    <s v="SMARTPHONE"/>
    <s v="Samsung A15"/>
    <n v="5"/>
    <n v="2200000"/>
    <n v="11000000"/>
    <n v="0"/>
    <n v="11000000"/>
    <n v="1210000"/>
    <n v="12210000"/>
    <s v="Dana/Non-COD"/>
    <s v="KAKA KIKI"/>
    <x v="0"/>
    <s v="SiCepat"/>
    <n v="2"/>
  </r>
  <r>
    <s v="JBR-S03/IP-J&amp;/C"/>
    <x v="50"/>
    <x v="0"/>
    <s v="SMARTPHONE"/>
    <s v="Iphone 16 128GB"/>
    <n v="5"/>
    <n v="14999000"/>
    <n v="74995000"/>
    <n v="0.06"/>
    <n v="70495300"/>
    <n v="7754483"/>
    <n v="78249783"/>
    <s v="COD/Cash"/>
    <s v="SARI PATI INDAH"/>
    <x v="0"/>
    <s v="Kurir J&amp;T"/>
    <n v="3"/>
  </r>
  <r>
    <s v="DKI-L01/AA-JN/C"/>
    <x v="51"/>
    <x v="6"/>
    <s v="LAPTOP"/>
    <s v="Acer Aspire 5"/>
    <n v="1"/>
    <n v="9000000"/>
    <n v="9000000"/>
    <n v="0.08"/>
    <n v="8280000"/>
    <n v="910800"/>
    <n v="9190800"/>
    <s v="COD/Cash"/>
    <s v="DUMANDO"/>
    <x v="1"/>
    <s v="Kurir J&amp;T"/>
    <n v="3"/>
  </r>
  <r>
    <s v="JWH-A02/LM-SC/D"/>
    <x v="52"/>
    <x v="3"/>
    <s v="AKSESORIS"/>
    <s v="Logitech Mouse"/>
    <n v="2"/>
    <n v="150000"/>
    <n v="300000"/>
    <n v="0"/>
    <n v="300000"/>
    <n v="33000"/>
    <n v="333000"/>
    <s v="Dana/Non-COD"/>
    <s v="CICI MEILI"/>
    <x v="2"/>
    <s v="SiCepat"/>
    <n v="2"/>
  </r>
  <r>
    <s v="JWH-A02/AP-J&amp;/G"/>
    <x v="53"/>
    <x v="4"/>
    <s v="AKSESORIS"/>
    <s v="AirPods Gen-2"/>
    <n v="3"/>
    <n v="1899000"/>
    <n v="5697000"/>
    <n v="0.03"/>
    <n v="5526090"/>
    <n v="607869.9"/>
    <n v="6133959.9000000004"/>
    <s v="GoPay/Non-COD"/>
    <s v="TIA RAY"/>
    <x v="2"/>
    <s v="Kurir J&amp;T"/>
    <n v="3"/>
  </r>
  <r>
    <s v="JWR-S03/IP-SC/D"/>
    <x v="54"/>
    <x v="4"/>
    <s v="SMARTPHONE"/>
    <s v="Iphone 16 128GB"/>
    <n v="6"/>
    <n v="14999000"/>
    <n v="89994000"/>
    <n v="0.06"/>
    <n v="84594360"/>
    <n v="9305379.5999999996"/>
    <n v="93899739.599999994"/>
    <s v="Dana/Non-COD"/>
    <s v="RAVIE WARDANA"/>
    <x v="3"/>
    <s v="SiCepat"/>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3A5CD7-9EF3-4121-891C-11E6CA303A6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6:B11" firstHeaderRow="1" firstDataRow="1" firstDataCol="1"/>
  <pivotFields count="1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4" showAll="0"/>
    <pivotField dataField="1" numFmtId="164" showAll="0"/>
    <pivotField numFmtId="9" showAll="0"/>
    <pivotField numFmtId="164" showAll="0"/>
    <pivotField numFmtId="164" showAll="0"/>
    <pivotField numFmtId="164" showAll="0"/>
    <pivotField showAll="0"/>
    <pivotField showAll="0"/>
    <pivotField axis="axisRow"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TOTAL PENJUALAN" fld="7" baseField="0" baseItem="0" numFmtId="165"/>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F53402-D620-44E4-9F2B-26B45B46B7C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23:B27" firstHeaderRow="1" firstDataRow="1" firstDataCol="1"/>
  <pivotFields count="1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8">
        <item x="1"/>
        <item x="0"/>
        <item x="2"/>
        <item x="5"/>
        <item x="6"/>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numFmtId="9" showAll="0"/>
    <pivotField numFmtId="164" showAll="0"/>
    <pivotField numFmtId="164" showAll="0"/>
    <pivotField numFmtId="164" showAll="0"/>
    <pivotField showAll="0"/>
    <pivotField showAll="0"/>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4">
    <i>
      <x v="1"/>
    </i>
    <i>
      <x v="6"/>
    </i>
    <i>
      <x v="3"/>
    </i>
    <i t="grand">
      <x/>
    </i>
  </rowItems>
  <colItems count="1">
    <i/>
  </colItems>
  <dataFields count="1">
    <dataField name="Sum of TOTAL PENJUALAN" fld="7"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B1F3B05D-5761-4C6B-AA3D-21063CF5AC3B}" sourceName="Months">
  <pivotTables>
    <pivotTable tabId="7" name="PivotTable1"/>
  </pivotTables>
  <data>
    <tabular pivotCacheId="1773960110">
      <items count="14">
        <i x="3" s="1"/>
        <i x="4" s="1"/>
        <i x="5" s="1"/>
        <i x="1" s="1" nd="1"/>
        <i x="2"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33FEE740-11FF-4B1E-AB24-110544985400}" cache="Slicer_Months" caption="Months" columnCount="3"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showGridLines="0" zoomScale="75" zoomScaleNormal="75" workbookViewId="0">
      <selection activeCell="P27" sqref="P27"/>
    </sheetView>
  </sheetViews>
  <sheetFormatPr defaultRowHeight="15" x14ac:dyDescent="0.25"/>
  <cols>
    <col min="1" max="1" width="5.5703125" customWidth="1"/>
    <col min="2" max="2" width="28.5703125" customWidth="1"/>
    <col min="3" max="3" width="16.28515625" bestFit="1" customWidth="1"/>
    <col min="4" max="4" width="19.28515625" bestFit="1" customWidth="1"/>
    <col min="5" max="5" width="16.42578125" bestFit="1" customWidth="1"/>
    <col min="8" max="8" width="16.42578125" bestFit="1" customWidth="1"/>
    <col min="9" max="9" width="19.42578125" bestFit="1" customWidth="1"/>
    <col min="12" max="12" width="5.28515625" customWidth="1"/>
    <col min="13" max="13" width="5.85546875" customWidth="1"/>
    <col min="21" max="21" width="15.28515625" customWidth="1"/>
  </cols>
  <sheetData>
    <row r="1" spans="1:10" ht="23.25" x14ac:dyDescent="0.35">
      <c r="A1" s="32" t="s">
        <v>168</v>
      </c>
      <c r="B1" s="33"/>
      <c r="C1" s="33"/>
      <c r="D1" s="33"/>
      <c r="E1" s="33"/>
      <c r="F1" s="33"/>
      <c r="G1" s="33"/>
      <c r="H1" s="33"/>
      <c r="I1" s="33"/>
      <c r="J1" s="34"/>
    </row>
    <row r="2" spans="1:10" ht="18.75" x14ac:dyDescent="0.3">
      <c r="A2" s="35" t="s">
        <v>169</v>
      </c>
      <c r="B2" s="36"/>
      <c r="C2" s="36"/>
      <c r="D2" s="36"/>
      <c r="E2" s="36"/>
      <c r="F2" s="36"/>
      <c r="G2" s="36"/>
      <c r="H2" s="36"/>
      <c r="I2" s="36"/>
      <c r="J2" s="37"/>
    </row>
    <row r="3" spans="1:10" x14ac:dyDescent="0.25">
      <c r="A3" s="38" t="s">
        <v>172</v>
      </c>
      <c r="B3" s="39"/>
      <c r="C3" s="39"/>
      <c r="D3" s="39"/>
      <c r="E3" s="39"/>
      <c r="F3" s="39"/>
      <c r="G3" s="39"/>
      <c r="H3" s="39"/>
      <c r="I3" s="39"/>
      <c r="J3" s="40"/>
    </row>
    <row r="4" spans="1:10" x14ac:dyDescent="0.25">
      <c r="A4" s="38" t="s">
        <v>170</v>
      </c>
      <c r="B4" s="39"/>
      <c r="C4" s="39"/>
      <c r="D4" s="39"/>
      <c r="E4" s="39"/>
      <c r="F4" s="39"/>
      <c r="G4" s="39"/>
      <c r="H4" s="39"/>
      <c r="I4" s="39"/>
      <c r="J4" s="40"/>
    </row>
    <row r="5" spans="1:10" ht="15.75" thickBot="1" x14ac:dyDescent="0.3">
      <c r="A5" s="41" t="s">
        <v>171</v>
      </c>
      <c r="B5" s="42"/>
      <c r="C5" s="42"/>
      <c r="D5" s="42"/>
      <c r="E5" s="42"/>
      <c r="F5" s="42"/>
      <c r="G5" s="42"/>
      <c r="H5" s="42"/>
      <c r="I5" s="42"/>
      <c r="J5" s="43"/>
    </row>
    <row r="6" spans="1:10" ht="15.75" thickTop="1" x14ac:dyDescent="0.25">
      <c r="A6" s="22"/>
      <c r="B6" s="5"/>
      <c r="C6" s="5"/>
      <c r="D6" s="5"/>
      <c r="E6" s="5"/>
      <c r="F6" s="5"/>
      <c r="G6" s="5"/>
      <c r="H6" s="5"/>
      <c r="I6" s="5"/>
      <c r="J6" s="23"/>
    </row>
    <row r="7" spans="1:10" x14ac:dyDescent="0.25">
      <c r="A7" s="1" t="s">
        <v>21</v>
      </c>
      <c r="B7" s="1" t="s">
        <v>4</v>
      </c>
      <c r="C7" s="1" t="s">
        <v>22</v>
      </c>
      <c r="D7" s="1" t="s">
        <v>3</v>
      </c>
      <c r="E7" s="1" t="s">
        <v>23</v>
      </c>
      <c r="F7" s="5"/>
      <c r="G7" s="10" t="s">
        <v>161</v>
      </c>
      <c r="H7" s="10" t="s">
        <v>162</v>
      </c>
      <c r="I7" s="13" t="s">
        <v>104</v>
      </c>
      <c r="J7" s="23"/>
    </row>
    <row r="8" spans="1:10" x14ac:dyDescent="0.25">
      <c r="A8" s="2">
        <v>1</v>
      </c>
      <c r="B8" s="3" t="s">
        <v>24</v>
      </c>
      <c r="C8" s="2" t="s">
        <v>155</v>
      </c>
      <c r="D8" s="3" t="s">
        <v>95</v>
      </c>
      <c r="E8" s="4">
        <v>8500000</v>
      </c>
      <c r="F8" s="5"/>
      <c r="G8" s="11" t="s">
        <v>98</v>
      </c>
      <c r="H8" s="11" t="s">
        <v>99</v>
      </c>
      <c r="I8" s="2">
        <v>3</v>
      </c>
      <c r="J8" s="23"/>
    </row>
    <row r="9" spans="1:10" x14ac:dyDescent="0.25">
      <c r="A9" s="2">
        <v>2</v>
      </c>
      <c r="B9" s="3" t="s">
        <v>25</v>
      </c>
      <c r="C9" s="2" t="s">
        <v>156</v>
      </c>
      <c r="D9" s="3" t="s">
        <v>95</v>
      </c>
      <c r="E9" s="4">
        <v>9000000</v>
      </c>
      <c r="F9" s="5"/>
      <c r="G9" s="11" t="s">
        <v>100</v>
      </c>
      <c r="H9" s="11" t="s">
        <v>101</v>
      </c>
      <c r="I9" s="2">
        <v>3</v>
      </c>
      <c r="J9" s="23"/>
    </row>
    <row r="10" spans="1:10" x14ac:dyDescent="0.25">
      <c r="A10" s="2">
        <v>3</v>
      </c>
      <c r="B10" s="3" t="s">
        <v>26</v>
      </c>
      <c r="C10" s="2" t="s">
        <v>157</v>
      </c>
      <c r="D10" s="3" t="s">
        <v>96</v>
      </c>
      <c r="E10" s="4">
        <v>150000</v>
      </c>
      <c r="F10" s="5"/>
      <c r="G10" s="11" t="s">
        <v>102</v>
      </c>
      <c r="H10" s="11" t="s">
        <v>103</v>
      </c>
      <c r="I10" s="2">
        <v>2</v>
      </c>
      <c r="J10" s="23"/>
    </row>
    <row r="11" spans="1:10" x14ac:dyDescent="0.25">
      <c r="A11" s="2">
        <v>4</v>
      </c>
      <c r="B11" s="3" t="s">
        <v>27</v>
      </c>
      <c r="C11" s="2" t="s">
        <v>158</v>
      </c>
      <c r="D11" s="3" t="s">
        <v>96</v>
      </c>
      <c r="E11" s="4">
        <v>1899000</v>
      </c>
      <c r="F11" s="5"/>
      <c r="G11" s="7"/>
      <c r="H11" s="7"/>
      <c r="I11" s="5"/>
      <c r="J11" s="23"/>
    </row>
    <row r="12" spans="1:10" x14ac:dyDescent="0.25">
      <c r="A12" s="2">
        <v>5</v>
      </c>
      <c r="B12" s="3" t="s">
        <v>28</v>
      </c>
      <c r="C12" s="2" t="s">
        <v>159</v>
      </c>
      <c r="D12" s="3" t="s">
        <v>97</v>
      </c>
      <c r="E12" s="4">
        <v>2200000</v>
      </c>
      <c r="F12" s="5"/>
      <c r="G12" s="7"/>
      <c r="H12" s="7"/>
      <c r="I12" s="5"/>
      <c r="J12" s="23"/>
    </row>
    <row r="13" spans="1:10" x14ac:dyDescent="0.25">
      <c r="A13" s="2">
        <v>6</v>
      </c>
      <c r="B13" s="3" t="s">
        <v>29</v>
      </c>
      <c r="C13" s="2" t="s">
        <v>160</v>
      </c>
      <c r="D13" s="3" t="s">
        <v>97</v>
      </c>
      <c r="E13" s="4">
        <v>14999000</v>
      </c>
      <c r="F13" s="5"/>
      <c r="G13" s="7"/>
      <c r="H13" s="7"/>
      <c r="I13" s="5"/>
      <c r="J13" s="23"/>
    </row>
    <row r="14" spans="1:10" x14ac:dyDescent="0.25">
      <c r="A14" s="22"/>
      <c r="B14" s="5"/>
      <c r="C14" s="5"/>
      <c r="D14" s="5"/>
      <c r="E14" s="5"/>
      <c r="F14" s="5"/>
      <c r="G14" s="7"/>
      <c r="H14" s="7"/>
      <c r="I14" s="5"/>
      <c r="J14" s="23"/>
    </row>
    <row r="15" spans="1:10" x14ac:dyDescent="0.25">
      <c r="A15" s="22"/>
      <c r="B15" s="5"/>
      <c r="C15" s="5"/>
      <c r="D15" s="5"/>
      <c r="E15" s="5"/>
      <c r="F15" s="5"/>
      <c r="G15" s="7"/>
      <c r="H15" s="7"/>
      <c r="I15" s="5"/>
      <c r="J15" s="23"/>
    </row>
    <row r="16" spans="1:10" x14ac:dyDescent="0.25">
      <c r="A16" s="22"/>
      <c r="B16" s="5"/>
      <c r="C16" s="5"/>
      <c r="D16" s="5"/>
      <c r="E16" s="5"/>
      <c r="F16" s="5"/>
      <c r="G16" s="7"/>
      <c r="H16" s="7"/>
      <c r="I16" s="5"/>
      <c r="J16" s="23"/>
    </row>
    <row r="17" spans="1:11" x14ac:dyDescent="0.25">
      <c r="A17" s="24"/>
      <c r="B17" s="25"/>
      <c r="C17" s="25"/>
      <c r="D17" s="25"/>
      <c r="E17" s="25"/>
      <c r="F17" s="25"/>
      <c r="G17" s="26"/>
      <c r="H17" s="26"/>
      <c r="I17" s="25"/>
      <c r="J17" s="27"/>
    </row>
    <row r="18" spans="1:11" x14ac:dyDescent="0.25">
      <c r="G18" s="7"/>
      <c r="H18" s="7"/>
    </row>
    <row r="19" spans="1:11" x14ac:dyDescent="0.25">
      <c r="G19" s="5"/>
      <c r="H19" s="5"/>
    </row>
    <row r="20" spans="1:11" x14ac:dyDescent="0.25">
      <c r="A20" s="6"/>
      <c r="B20" s="6"/>
      <c r="C20" s="6"/>
      <c r="D20" s="6"/>
      <c r="E20" s="6"/>
      <c r="F20" s="7"/>
      <c r="G20" s="7"/>
      <c r="H20" s="7"/>
      <c r="I20" s="7"/>
      <c r="J20" s="7"/>
      <c r="K20" s="7"/>
    </row>
    <row r="21" spans="1:11" x14ac:dyDescent="0.25">
      <c r="A21" s="8"/>
      <c r="B21" s="7"/>
      <c r="C21" s="7"/>
      <c r="D21" s="7"/>
      <c r="E21" s="9"/>
      <c r="F21" s="7"/>
      <c r="G21" s="7"/>
      <c r="H21" s="7"/>
      <c r="I21" s="7"/>
      <c r="J21" s="7"/>
      <c r="K21" s="7"/>
    </row>
    <row r="22" spans="1:11" x14ac:dyDescent="0.25">
      <c r="A22" s="8"/>
      <c r="B22" s="7"/>
      <c r="C22" s="7"/>
      <c r="D22" s="7"/>
      <c r="E22" s="9"/>
      <c r="F22" s="7"/>
      <c r="G22" s="7"/>
      <c r="H22" s="7"/>
      <c r="I22" s="7"/>
      <c r="J22" s="7"/>
      <c r="K22" s="7"/>
    </row>
    <row r="23" spans="1:11" x14ac:dyDescent="0.25">
      <c r="A23" s="8"/>
      <c r="B23" s="7"/>
      <c r="C23" s="7"/>
      <c r="D23" s="7"/>
      <c r="E23" s="9"/>
      <c r="F23" s="7"/>
      <c r="G23" s="7"/>
      <c r="H23" s="7"/>
      <c r="I23" s="7"/>
      <c r="J23" s="7"/>
      <c r="K23" s="7"/>
    </row>
    <row r="24" spans="1:11" x14ac:dyDescent="0.25">
      <c r="A24" s="8"/>
      <c r="B24" s="7"/>
      <c r="C24" s="7"/>
      <c r="D24" s="7"/>
      <c r="E24" s="9"/>
      <c r="F24" s="7"/>
      <c r="G24" s="7"/>
      <c r="H24" s="7"/>
      <c r="I24" s="7"/>
      <c r="J24" s="7"/>
      <c r="K24" s="7"/>
    </row>
    <row r="25" spans="1:11" x14ac:dyDescent="0.25">
      <c r="A25" s="8"/>
      <c r="B25" s="7"/>
      <c r="C25" s="7"/>
      <c r="D25" s="7"/>
      <c r="E25" s="9"/>
      <c r="F25" s="7"/>
      <c r="G25" s="7"/>
      <c r="H25" s="7"/>
      <c r="I25" s="7"/>
      <c r="J25" s="7"/>
      <c r="K25" s="7"/>
    </row>
    <row r="26" spans="1:11" x14ac:dyDescent="0.25">
      <c r="A26" s="8"/>
      <c r="B26" s="7"/>
      <c r="C26" s="7"/>
      <c r="D26" s="7"/>
      <c r="E26" s="9"/>
      <c r="F26" s="7"/>
      <c r="G26" s="7"/>
      <c r="H26" s="7"/>
      <c r="I26" s="7"/>
      <c r="J26" s="7"/>
      <c r="K26" s="7"/>
    </row>
    <row r="27" spans="1:11" x14ac:dyDescent="0.25">
      <c r="A27" s="7"/>
      <c r="B27" s="7"/>
      <c r="C27" s="7"/>
      <c r="D27" s="7"/>
      <c r="E27" s="7"/>
      <c r="F27" s="7"/>
      <c r="G27" s="7"/>
      <c r="H27" s="7"/>
      <c r="I27" s="7"/>
      <c r="J27" s="7"/>
      <c r="K27" s="7"/>
    </row>
    <row r="28" spans="1:11" x14ac:dyDescent="0.25">
      <c r="A28" s="7"/>
      <c r="B28" s="7"/>
      <c r="C28" s="7"/>
      <c r="D28" s="7"/>
      <c r="E28" s="7"/>
      <c r="F28" s="7"/>
      <c r="G28" s="7"/>
      <c r="H28" s="7"/>
      <c r="I28" s="7"/>
      <c r="J28" s="7"/>
      <c r="K28" s="7"/>
    </row>
    <row r="29" spans="1:11" x14ac:dyDescent="0.25">
      <c r="A29" s="7"/>
      <c r="B29" s="7"/>
      <c r="C29" s="7"/>
      <c r="D29" s="7"/>
      <c r="E29" s="7"/>
      <c r="F29" s="7"/>
      <c r="G29" s="7"/>
      <c r="H29" s="7"/>
      <c r="I29" s="7"/>
      <c r="J29" s="7"/>
      <c r="K29" s="7"/>
    </row>
    <row r="30" spans="1:11" x14ac:dyDescent="0.25">
      <c r="A30" s="7"/>
      <c r="B30" s="7"/>
      <c r="C30" s="7"/>
      <c r="D30" s="7"/>
      <c r="E30" s="7"/>
      <c r="F30" s="7"/>
      <c r="G30" s="7"/>
      <c r="H30" s="7"/>
      <c r="I30" s="7"/>
      <c r="J30" s="7"/>
      <c r="K30" s="7"/>
    </row>
    <row r="31" spans="1:11" x14ac:dyDescent="0.25">
      <c r="A31" s="7"/>
      <c r="B31" s="7"/>
      <c r="C31" s="7"/>
      <c r="D31" s="7"/>
      <c r="E31" s="7"/>
      <c r="F31" s="7"/>
      <c r="G31" s="7"/>
      <c r="H31" s="7"/>
      <c r="I31" s="7"/>
      <c r="J31" s="7"/>
      <c r="K31" s="7"/>
    </row>
    <row r="32" spans="1:11" x14ac:dyDescent="0.25">
      <c r="A32" s="7"/>
      <c r="B32" s="7"/>
      <c r="C32" s="7"/>
      <c r="D32" s="7"/>
      <c r="E32" s="7"/>
      <c r="F32" s="7"/>
      <c r="G32" s="7"/>
      <c r="H32" s="7"/>
      <c r="I32" s="7"/>
      <c r="J32" s="7"/>
      <c r="K32" s="7"/>
    </row>
    <row r="33" spans="4:4" x14ac:dyDescent="0.25">
      <c r="D33" s="7"/>
    </row>
  </sheetData>
  <mergeCells count="5">
    <mergeCell ref="A1:J1"/>
    <mergeCell ref="A2:J2"/>
    <mergeCell ref="A3:J3"/>
    <mergeCell ref="A4:J4"/>
    <mergeCell ref="A5:J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3"/>
  <sheetViews>
    <sheetView showGridLines="0" zoomScale="60" zoomScaleNormal="60" workbookViewId="0">
      <pane xSplit="3" ySplit="2" topLeftCell="D3" activePane="bottomRight" state="frozen"/>
      <selection pane="topRight" activeCell="D1" sqref="D1"/>
      <selection pane="bottomLeft" activeCell="A3" sqref="A3"/>
      <selection pane="bottomRight" activeCell="Z82" sqref="Z82"/>
    </sheetView>
  </sheetViews>
  <sheetFormatPr defaultRowHeight="15" x14ac:dyDescent="0.25"/>
  <cols>
    <col min="1" max="1" width="21.28515625" customWidth="1"/>
    <col min="2" max="2" width="14.28515625" customWidth="1"/>
    <col min="3" max="3" width="20.140625" customWidth="1"/>
    <col min="4" max="4" width="18.28515625" bestFit="1" customWidth="1"/>
    <col min="5" max="5" width="18" bestFit="1" customWidth="1"/>
    <col min="6" max="6" width="16.85546875" bestFit="1" customWidth="1"/>
    <col min="7" max="7" width="18.28515625" customWidth="1"/>
    <col min="8" max="8" width="19.140625" bestFit="1" customWidth="1"/>
    <col min="9" max="9" width="14.42578125" style="31" bestFit="1" customWidth="1"/>
    <col min="10" max="12" width="17.7109375" customWidth="1"/>
    <col min="13" max="13" width="16.7109375" customWidth="1"/>
    <col min="14" max="14" width="21.85546875" customWidth="1"/>
    <col min="15" max="15" width="14.85546875" customWidth="1"/>
    <col min="16" max="16" width="21.140625" customWidth="1"/>
    <col min="17" max="17" width="28" style="31" bestFit="1" customWidth="1"/>
  </cols>
  <sheetData>
    <row r="1" spans="1:17" x14ac:dyDescent="0.25">
      <c r="A1" s="14"/>
      <c r="D1" s="14"/>
      <c r="E1" s="14"/>
      <c r="N1" s="7"/>
    </row>
    <row r="2" spans="1:17" x14ac:dyDescent="0.25">
      <c r="A2" s="12" t="s">
        <v>0</v>
      </c>
      <c r="B2" s="12" t="s">
        <v>1</v>
      </c>
      <c r="C2" s="12" t="s">
        <v>2</v>
      </c>
      <c r="D2" s="12" t="s">
        <v>173</v>
      </c>
      <c r="E2" s="12" t="s">
        <v>174</v>
      </c>
      <c r="F2" s="12" t="s">
        <v>5</v>
      </c>
      <c r="G2" s="12" t="s">
        <v>6</v>
      </c>
      <c r="H2" s="12" t="s">
        <v>7</v>
      </c>
      <c r="I2" s="12" t="s">
        <v>164</v>
      </c>
      <c r="J2" s="12" t="s">
        <v>8</v>
      </c>
      <c r="K2" s="12" t="s">
        <v>9</v>
      </c>
      <c r="L2" s="12" t="s">
        <v>105</v>
      </c>
      <c r="M2" s="12" t="s">
        <v>10</v>
      </c>
      <c r="N2" s="12" t="s">
        <v>11</v>
      </c>
      <c r="O2" s="12" t="s">
        <v>12</v>
      </c>
      <c r="P2" s="12" t="s">
        <v>13</v>
      </c>
      <c r="Q2" s="12" t="s">
        <v>104</v>
      </c>
    </row>
    <row r="3" spans="1:17" x14ac:dyDescent="0.25">
      <c r="A3" s="18" t="s">
        <v>106</v>
      </c>
      <c r="B3" s="19">
        <v>45717</v>
      </c>
      <c r="C3" s="18" t="s">
        <v>14</v>
      </c>
      <c r="D3" s="3" t="str">
        <f>VLOOKUP(MID(A3,5,6),Master_Data!$C$8:$D$13,2,0)</f>
        <v>LAPTOP</v>
      </c>
      <c r="E3" s="3" t="str">
        <f>INDEX(Master_Data!$B$8:$B$13,MATCH(MID(A3,5,6),Master_Data!$C$8:$C$13,0))</f>
        <v>Lenovo Idepad</v>
      </c>
      <c r="F3" s="20">
        <v>3</v>
      </c>
      <c r="G3" s="28">
        <f>VLOOKUP(E3,Master_Data!$B$8:$E$13,4,0)</f>
        <v>8500000</v>
      </c>
      <c r="H3" s="29">
        <f>F3*G3</f>
        <v>25500000</v>
      </c>
      <c r="I3" s="15">
        <f>_xlfn.IFS(AND(D3="LAPTOP",E3="Acer Aspire 5"),8%,AND(D3="SMARTPHONE",E3="Iphone 16 128GB"),6%,AND(D3="AKSESORIS",E3="AirPods Gen-2"),3%,TRUE,0)</f>
        <v>0</v>
      </c>
      <c r="J3" s="28">
        <f>H3-(H3*I3)</f>
        <v>25500000</v>
      </c>
      <c r="K3" s="29">
        <f>J3*11%</f>
        <v>2805000</v>
      </c>
      <c r="L3" s="29">
        <f>J3+K3</f>
        <v>28305000</v>
      </c>
      <c r="M3" s="3" t="str">
        <f>_xlfn.IFS(RIGHT(A3,1)="C","COD/Cash",RIGHT(A3,1)="G","GoPay/Non-COD",RIGHT(A3,1)="D","Dana/Non-COD")</f>
        <v>COD/Cash</v>
      </c>
      <c r="N3" s="21" t="s">
        <v>34</v>
      </c>
      <c r="O3" s="3" t="str">
        <f>_xlfn.IFS(LEFT(A3,3)="JBR","Jawa Barat",LEFT(A3,3)="DKI","DKI Jakarta",LEFT(A3,3)="JWH","Jawa Tengah",TRUE,"Jawa Timur")</f>
        <v>Jawa Barat</v>
      </c>
      <c r="P3" s="3" t="str">
        <f>VLOOKUP(MID(A3,12,2),Master_Data!$G$8:$I$10,2)</f>
        <v>Kurir J&amp;T</v>
      </c>
      <c r="Q3" s="2" t="str">
        <f>VLOOKUP(MID(A3,12,2),Master_Data!$G$8:$I$10,3)&amp;" hari"</f>
        <v>3 hari</v>
      </c>
    </row>
    <row r="4" spans="1:17" x14ac:dyDescent="0.25">
      <c r="A4" s="18" t="s">
        <v>107</v>
      </c>
      <c r="B4" s="19">
        <v>45718</v>
      </c>
      <c r="C4" s="18" t="s">
        <v>20</v>
      </c>
      <c r="D4" s="3" t="str">
        <f>VLOOKUP(MID(A4,5,6),Master_Data!$C$8:$D$13,2,0)</f>
        <v>LAPTOP</v>
      </c>
      <c r="E4" s="3" t="str">
        <f>INDEX(Master_Data!$B$8:$B$13,MATCH(MID(A4,5,6),Master_Data!$C$8:$C$13,0))</f>
        <v>Acer Aspire 5</v>
      </c>
      <c r="F4" s="20">
        <v>2</v>
      </c>
      <c r="G4" s="28">
        <f>VLOOKUP(E4,Master_Data!$B$8:$E$13,4,0)</f>
        <v>9000000</v>
      </c>
      <c r="H4" s="29">
        <f t="shared" ref="H4:H63" si="0">F4*G4</f>
        <v>18000000</v>
      </c>
      <c r="I4" s="15">
        <f t="shared" ref="I4:I63" si="1">_xlfn.IFS(AND(D4="LAPTOP",E4="Acer Aspire 5"),8%,AND(D4="SMARTPHONE",E4="Iphone 16 128GB"),6%,AND(D4="AKSESORIS",E4="AirPods Gen-2"),3%,TRUE,0)</f>
        <v>0.08</v>
      </c>
      <c r="J4" s="28">
        <f t="shared" ref="J4:J63" si="2">H4-(H4*I4)</f>
        <v>16560000</v>
      </c>
      <c r="K4" s="29">
        <f t="shared" ref="K4:K63" si="3">J4*11%</f>
        <v>1821600</v>
      </c>
      <c r="L4" s="29">
        <f t="shared" ref="L4:L63" si="4">J4+K4</f>
        <v>18381600</v>
      </c>
      <c r="M4" s="3" t="str">
        <f t="shared" ref="M4:M63" si="5">_xlfn.IFS(RIGHT(A4,1)="C","COD/Cash",RIGHT(A4,1)="G","GoPay/Non-COD",RIGHT(A4,1)="D","Dana/Non-COD")</f>
        <v>GoPay/Non-COD</v>
      </c>
      <c r="N4" s="21" t="s">
        <v>35</v>
      </c>
      <c r="O4" s="3" t="str">
        <f t="shared" ref="O4:O63" si="6">_xlfn.IFS(LEFT(A4,3)="JBR","Jawa Barat",LEFT(A4,3)="DKI","DKI Jakarta",LEFT(A4,3)="JWH","Jawa Tengah",TRUE,"Jawa Timur")</f>
        <v>DKI Jakarta</v>
      </c>
      <c r="P4" s="3" t="str">
        <f>VLOOKUP(MID(A4,12,2),Master_Data!$G$8:$I$10,2)</f>
        <v>Kurir J&amp;T</v>
      </c>
      <c r="Q4" s="2" t="str">
        <f>VLOOKUP(MID(A4,12,2),Master_Data!$G$8:$I$10,3)&amp;" hari"</f>
        <v>3 hari</v>
      </c>
    </row>
    <row r="5" spans="1:17" x14ac:dyDescent="0.25">
      <c r="A5" s="18" t="s">
        <v>108</v>
      </c>
      <c r="B5" s="19">
        <v>45719</v>
      </c>
      <c r="C5" s="18" t="s">
        <v>19</v>
      </c>
      <c r="D5" s="3" t="str">
        <f>VLOOKUP(MID(A5,5,6),Master_Data!$C$8:$D$13,2,0)</f>
        <v>AKSESORIS</v>
      </c>
      <c r="E5" s="3" t="str">
        <f>INDEX(Master_Data!$B$8:$B$13,MATCH(MID(A5,5,6),Master_Data!$C$8:$C$13,0))</f>
        <v>Logitech Mouse</v>
      </c>
      <c r="F5" s="20">
        <v>1</v>
      </c>
      <c r="G5" s="28">
        <f>VLOOKUP(E5,Master_Data!$B$8:$E$13,4,0)</f>
        <v>150000</v>
      </c>
      <c r="H5" s="29">
        <f t="shared" si="0"/>
        <v>150000</v>
      </c>
      <c r="I5" s="15">
        <f t="shared" si="1"/>
        <v>0</v>
      </c>
      <c r="J5" s="28">
        <f t="shared" si="2"/>
        <v>150000</v>
      </c>
      <c r="K5" s="29">
        <f t="shared" si="3"/>
        <v>16500</v>
      </c>
      <c r="L5" s="29">
        <f t="shared" si="4"/>
        <v>166500</v>
      </c>
      <c r="M5" s="3" t="str">
        <f t="shared" si="5"/>
        <v>Dana/Non-COD</v>
      </c>
      <c r="N5" s="21" t="s">
        <v>36</v>
      </c>
      <c r="O5" s="3" t="str">
        <f t="shared" si="6"/>
        <v>Jawa Tengah</v>
      </c>
      <c r="P5" s="3" t="str">
        <f>VLOOKUP(MID(A5,12,2),Master_Data!$G$8:$I$10,2)</f>
        <v>SiCepat</v>
      </c>
      <c r="Q5" s="2" t="str">
        <f>VLOOKUP(MID(A5,12,2),Master_Data!$G$8:$I$10,3)&amp;" hari"</f>
        <v>2 hari</v>
      </c>
    </row>
    <row r="6" spans="1:17" x14ac:dyDescent="0.25">
      <c r="A6" s="18" t="s">
        <v>109</v>
      </c>
      <c r="B6" s="19">
        <v>45720</v>
      </c>
      <c r="C6" s="18" t="s">
        <v>18</v>
      </c>
      <c r="D6" s="3" t="str">
        <f>VLOOKUP(MID(A6,5,6),Master_Data!$C$8:$D$13,2,0)</f>
        <v>AKSESORIS</v>
      </c>
      <c r="E6" s="3" t="str">
        <f>INDEX(Master_Data!$B$8:$B$13,MATCH(MID(A6,5,6),Master_Data!$C$8:$C$13,0))</f>
        <v>AirPods Gen-2</v>
      </c>
      <c r="F6" s="20">
        <v>5</v>
      </c>
      <c r="G6" s="28">
        <f>VLOOKUP(E6,Master_Data!$B$8:$E$13,4,0)</f>
        <v>1899000</v>
      </c>
      <c r="H6" s="29">
        <f t="shared" si="0"/>
        <v>9495000</v>
      </c>
      <c r="I6" s="15">
        <f t="shared" si="1"/>
        <v>0.03</v>
      </c>
      <c r="J6" s="28">
        <f t="shared" si="2"/>
        <v>9210150</v>
      </c>
      <c r="K6" s="29">
        <f t="shared" si="3"/>
        <v>1013116.5</v>
      </c>
      <c r="L6" s="29">
        <f t="shared" si="4"/>
        <v>10223266.5</v>
      </c>
      <c r="M6" s="3" t="str">
        <f t="shared" si="5"/>
        <v>COD/Cash</v>
      </c>
      <c r="N6" s="21" t="s">
        <v>37</v>
      </c>
      <c r="O6" s="3" t="str">
        <f t="shared" si="6"/>
        <v>Jawa Timur</v>
      </c>
      <c r="P6" s="3" t="str">
        <f>VLOOKUP(MID(A6,12,2),Master_Data!$G$8:$I$10,2)</f>
        <v>Kurir J&amp;T</v>
      </c>
      <c r="Q6" s="2" t="str">
        <f>VLOOKUP(MID(A6,12,2),Master_Data!$G$8:$I$10,3)&amp;" hari"</f>
        <v>3 hari</v>
      </c>
    </row>
    <row r="7" spans="1:17" x14ac:dyDescent="0.25">
      <c r="A7" s="18" t="s">
        <v>110</v>
      </c>
      <c r="B7" s="19">
        <v>45721</v>
      </c>
      <c r="C7" s="18" t="s">
        <v>15</v>
      </c>
      <c r="D7" s="3" t="str">
        <f>VLOOKUP(MID(A7,5,6),Master_Data!$C$8:$D$13,2,0)</f>
        <v>SMARTPHONE</v>
      </c>
      <c r="E7" s="3" t="str">
        <f>INDEX(Master_Data!$B$8:$B$13,MATCH(MID(A7,5,6),Master_Data!$C$8:$C$13,0))</f>
        <v>Samsung A15</v>
      </c>
      <c r="F7" s="20">
        <v>4</v>
      </c>
      <c r="G7" s="28">
        <f>VLOOKUP(E7,Master_Data!$B$8:$E$13,4,0)</f>
        <v>2200000</v>
      </c>
      <c r="H7" s="29">
        <f t="shared" si="0"/>
        <v>8800000</v>
      </c>
      <c r="I7" s="15">
        <f t="shared" si="1"/>
        <v>0</v>
      </c>
      <c r="J7" s="28">
        <f t="shared" si="2"/>
        <v>8800000</v>
      </c>
      <c r="K7" s="29">
        <f t="shared" si="3"/>
        <v>968000</v>
      </c>
      <c r="L7" s="29">
        <f t="shared" si="4"/>
        <v>9768000</v>
      </c>
      <c r="M7" s="3" t="str">
        <f t="shared" si="5"/>
        <v>COD/Cash</v>
      </c>
      <c r="N7" s="21" t="s">
        <v>38</v>
      </c>
      <c r="O7" s="3" t="str">
        <f t="shared" si="6"/>
        <v>DKI Jakarta</v>
      </c>
      <c r="P7" s="3" t="str">
        <f>VLOOKUP(MID(A7,12,2),Master_Data!$G$8:$I$10,2)</f>
        <v>Kurir J&amp;T</v>
      </c>
      <c r="Q7" s="2" t="str">
        <f>VLOOKUP(MID(A7,12,2),Master_Data!$G$8:$I$10,3)&amp;" hari"</f>
        <v>3 hari</v>
      </c>
    </row>
    <row r="8" spans="1:17" x14ac:dyDescent="0.25">
      <c r="A8" s="18" t="s">
        <v>111</v>
      </c>
      <c r="B8" s="19">
        <v>45723</v>
      </c>
      <c r="C8" s="18" t="s">
        <v>16</v>
      </c>
      <c r="D8" s="3" t="str">
        <f>VLOOKUP(MID(A8,5,6),Master_Data!$C$8:$D$13,2,0)</f>
        <v>SMARTPHONE</v>
      </c>
      <c r="E8" s="3" t="str">
        <f>INDEX(Master_Data!$B$8:$B$13,MATCH(MID(A8,5,6),Master_Data!$C$8:$C$13,0))</f>
        <v>Iphone 16 128GB</v>
      </c>
      <c r="F8" s="20">
        <v>7</v>
      </c>
      <c r="G8" s="28">
        <f>VLOOKUP(E8,Master_Data!$B$8:$E$13,4,0)</f>
        <v>14999000</v>
      </c>
      <c r="H8" s="29">
        <f t="shared" si="0"/>
        <v>104993000</v>
      </c>
      <c r="I8" s="15">
        <f t="shared" si="1"/>
        <v>0.06</v>
      </c>
      <c r="J8" s="28">
        <f t="shared" si="2"/>
        <v>98693420</v>
      </c>
      <c r="K8" s="29">
        <f t="shared" si="3"/>
        <v>10856276.199999999</v>
      </c>
      <c r="L8" s="29">
        <f t="shared" si="4"/>
        <v>109549696.2</v>
      </c>
      <c r="M8" s="3" t="str">
        <f t="shared" si="5"/>
        <v>Dana/Non-COD</v>
      </c>
      <c r="N8" s="21" t="s">
        <v>39</v>
      </c>
      <c r="O8" s="3" t="str">
        <f t="shared" si="6"/>
        <v>Jawa Barat</v>
      </c>
      <c r="P8" s="3" t="str">
        <f>VLOOKUP(MID(A8,12,2),Master_Data!$G$8:$I$10,2)</f>
        <v>Kurir J&amp;T</v>
      </c>
      <c r="Q8" s="2" t="str">
        <f>VLOOKUP(MID(A8,12,2),Master_Data!$G$8:$I$10,3)&amp;" hari"</f>
        <v>3 hari</v>
      </c>
    </row>
    <row r="9" spans="1:17" x14ac:dyDescent="0.25">
      <c r="A9" s="18" t="s">
        <v>144</v>
      </c>
      <c r="B9" s="19">
        <v>45731</v>
      </c>
      <c r="C9" s="18" t="s">
        <v>17</v>
      </c>
      <c r="D9" s="3" t="str">
        <f>VLOOKUP(MID(A9,5,6),Master_Data!$C$8:$D$13,2,0)</f>
        <v>AKSESORIS</v>
      </c>
      <c r="E9" s="3" t="str">
        <f>INDEX(Master_Data!$B$8:$B$13,MATCH(MID(A9,5,6),Master_Data!$C$8:$C$13,0))</f>
        <v>Logitech Mouse</v>
      </c>
      <c r="F9" s="20">
        <v>3</v>
      </c>
      <c r="G9" s="28">
        <f>VLOOKUP(E9,Master_Data!$B$8:$E$13,4,0)</f>
        <v>150000</v>
      </c>
      <c r="H9" s="29">
        <f t="shared" si="0"/>
        <v>450000</v>
      </c>
      <c r="I9" s="15">
        <f t="shared" si="1"/>
        <v>0</v>
      </c>
      <c r="J9" s="28">
        <f t="shared" si="2"/>
        <v>450000</v>
      </c>
      <c r="K9" s="29">
        <f t="shared" si="3"/>
        <v>49500</v>
      </c>
      <c r="L9" s="29">
        <f t="shared" si="4"/>
        <v>499500</v>
      </c>
      <c r="M9" s="3" t="str">
        <f t="shared" si="5"/>
        <v>COD/Cash</v>
      </c>
      <c r="N9" s="21" t="s">
        <v>40</v>
      </c>
      <c r="O9" s="3" t="str">
        <f t="shared" si="6"/>
        <v>Jawa Barat</v>
      </c>
      <c r="P9" s="3" t="str">
        <f>VLOOKUP(MID(A9,12,2),Master_Data!$G$8:$I$10,2)</f>
        <v>SiCepat</v>
      </c>
      <c r="Q9" s="2" t="str">
        <f>VLOOKUP(MID(A9,12,2),Master_Data!$G$8:$I$10,3)&amp;" hari"</f>
        <v>2 hari</v>
      </c>
    </row>
    <row r="10" spans="1:17" x14ac:dyDescent="0.25">
      <c r="A10" s="18" t="s">
        <v>128</v>
      </c>
      <c r="B10" s="19">
        <v>45732</v>
      </c>
      <c r="C10" s="18" t="s">
        <v>18</v>
      </c>
      <c r="D10" s="3" t="str">
        <f>VLOOKUP(MID(A10,5,6),Master_Data!$C$8:$D$13,2,0)</f>
        <v>SMARTPHONE</v>
      </c>
      <c r="E10" s="3" t="str">
        <f>INDEX(Master_Data!$B$8:$B$13,MATCH(MID(A10,5,6),Master_Data!$C$8:$C$13,0))</f>
        <v>Samsung A15</v>
      </c>
      <c r="F10" s="20">
        <v>2</v>
      </c>
      <c r="G10" s="28">
        <f>VLOOKUP(E10,Master_Data!$B$8:$E$13,4,0)</f>
        <v>2200000</v>
      </c>
      <c r="H10" s="29">
        <f t="shared" si="0"/>
        <v>4400000</v>
      </c>
      <c r="I10" s="15">
        <f t="shared" si="1"/>
        <v>0</v>
      </c>
      <c r="J10" s="28">
        <f t="shared" si="2"/>
        <v>4400000</v>
      </c>
      <c r="K10" s="29">
        <f t="shared" si="3"/>
        <v>484000</v>
      </c>
      <c r="L10" s="29">
        <f t="shared" si="4"/>
        <v>4884000</v>
      </c>
      <c r="M10" s="3" t="str">
        <f t="shared" si="5"/>
        <v>Dana/Non-COD</v>
      </c>
      <c r="N10" s="21" t="s">
        <v>41</v>
      </c>
      <c r="O10" s="3" t="str">
        <f t="shared" si="6"/>
        <v>Jawa Tengah</v>
      </c>
      <c r="P10" s="3" t="str">
        <f>VLOOKUP(MID(A10,12,2),Master_Data!$G$8:$I$10,2)</f>
        <v>SiCepat</v>
      </c>
      <c r="Q10" s="2" t="str">
        <f>VLOOKUP(MID(A10,12,2),Master_Data!$G$8:$I$10,3)&amp;" hari"</f>
        <v>2 hari</v>
      </c>
    </row>
    <row r="11" spans="1:17" x14ac:dyDescent="0.25">
      <c r="A11" s="18" t="s">
        <v>145</v>
      </c>
      <c r="B11" s="19">
        <v>45732</v>
      </c>
      <c r="C11" s="18" t="s">
        <v>19</v>
      </c>
      <c r="D11" s="3" t="str">
        <f>VLOOKUP(MID(A11,5,6),Master_Data!$C$8:$D$13,2,0)</f>
        <v>LAPTOP</v>
      </c>
      <c r="E11" s="3" t="str">
        <f>INDEX(Master_Data!$B$8:$B$13,MATCH(MID(A11,5,6),Master_Data!$C$8:$C$13,0))</f>
        <v>Lenovo Idepad</v>
      </c>
      <c r="F11" s="20">
        <v>6</v>
      </c>
      <c r="G11" s="28">
        <f>VLOOKUP(E11,Master_Data!$B$8:$E$13,4,0)</f>
        <v>8500000</v>
      </c>
      <c r="H11" s="29">
        <f t="shared" si="0"/>
        <v>51000000</v>
      </c>
      <c r="I11" s="15">
        <f t="shared" si="1"/>
        <v>0</v>
      </c>
      <c r="J11" s="28">
        <f t="shared" si="2"/>
        <v>51000000</v>
      </c>
      <c r="K11" s="29">
        <f t="shared" si="3"/>
        <v>5610000</v>
      </c>
      <c r="L11" s="29">
        <f t="shared" si="4"/>
        <v>56610000</v>
      </c>
      <c r="M11" s="3" t="str">
        <f t="shared" si="5"/>
        <v>GoPay/Non-COD</v>
      </c>
      <c r="N11" s="21" t="s">
        <v>42</v>
      </c>
      <c r="O11" s="3" t="str">
        <f t="shared" si="6"/>
        <v>Jawa Timur</v>
      </c>
      <c r="P11" s="3" t="str">
        <f>VLOOKUP(MID(A11,12,2),Master_Data!$G$8:$I$10,2)</f>
        <v>Kurir J&amp;T</v>
      </c>
      <c r="Q11" s="2" t="str">
        <f>VLOOKUP(MID(A11,12,2),Master_Data!$G$8:$I$10,3)&amp;" hari"</f>
        <v>3 hari</v>
      </c>
    </row>
    <row r="12" spans="1:17" x14ac:dyDescent="0.25">
      <c r="A12" s="18" t="s">
        <v>146</v>
      </c>
      <c r="B12" s="19">
        <v>45732</v>
      </c>
      <c r="C12" s="18" t="s">
        <v>20</v>
      </c>
      <c r="D12" s="3" t="str">
        <f>VLOOKUP(MID(A12,5,6),Master_Data!$C$8:$D$13,2,0)</f>
        <v>LAPTOP</v>
      </c>
      <c r="E12" s="3" t="str">
        <f>INDEX(Master_Data!$B$8:$B$13,MATCH(MID(A12,5,6),Master_Data!$C$8:$C$13,0))</f>
        <v>Lenovo Idepad</v>
      </c>
      <c r="F12" s="20">
        <v>3</v>
      </c>
      <c r="G12" s="28">
        <f>VLOOKUP(E12,Master_Data!$B$8:$E$13,4,0)</f>
        <v>8500000</v>
      </c>
      <c r="H12" s="29">
        <f t="shared" si="0"/>
        <v>25500000</v>
      </c>
      <c r="I12" s="15">
        <f t="shared" si="1"/>
        <v>0</v>
      </c>
      <c r="J12" s="28">
        <f t="shared" si="2"/>
        <v>25500000</v>
      </c>
      <c r="K12" s="29">
        <f t="shared" si="3"/>
        <v>2805000</v>
      </c>
      <c r="L12" s="29">
        <f t="shared" si="4"/>
        <v>28305000</v>
      </c>
      <c r="M12" s="3" t="str">
        <f t="shared" si="5"/>
        <v>COD/Cash</v>
      </c>
      <c r="N12" s="21" t="s">
        <v>43</v>
      </c>
      <c r="O12" s="3" t="str">
        <f t="shared" si="6"/>
        <v>Jawa Timur</v>
      </c>
      <c r="P12" s="3" t="str">
        <f>VLOOKUP(MID(A12,12,2),Master_Data!$G$8:$I$10,2)</f>
        <v>Kurir J&amp;T</v>
      </c>
      <c r="Q12" s="2" t="str">
        <f>VLOOKUP(MID(A12,12,2),Master_Data!$G$8:$I$10,3)&amp;" hari"</f>
        <v>3 hari</v>
      </c>
    </row>
    <row r="13" spans="1:17" x14ac:dyDescent="0.25">
      <c r="A13" s="18" t="s">
        <v>163</v>
      </c>
      <c r="B13" s="19">
        <v>45733</v>
      </c>
      <c r="C13" s="18" t="s">
        <v>16</v>
      </c>
      <c r="D13" s="3" t="str">
        <f>VLOOKUP(MID(A13,5,6),Master_Data!$C$8:$D$13,2,0)</f>
        <v>LAPTOP</v>
      </c>
      <c r="E13" s="3" t="str">
        <f>INDEX(Master_Data!$B$8:$B$13,MATCH(MID(A13,5,6),Master_Data!$C$8:$C$13,0))</f>
        <v>Lenovo Idepad</v>
      </c>
      <c r="F13" s="20">
        <v>4</v>
      </c>
      <c r="G13" s="28">
        <f>VLOOKUP(E13,Master_Data!$B$8:$E$13,4,0)</f>
        <v>8500000</v>
      </c>
      <c r="H13" s="29">
        <f t="shared" si="0"/>
        <v>34000000</v>
      </c>
      <c r="I13" s="15">
        <f t="shared" si="1"/>
        <v>0</v>
      </c>
      <c r="J13" s="28">
        <f t="shared" si="2"/>
        <v>34000000</v>
      </c>
      <c r="K13" s="29">
        <f t="shared" si="3"/>
        <v>3740000</v>
      </c>
      <c r="L13" s="29">
        <f t="shared" si="4"/>
        <v>37740000</v>
      </c>
      <c r="M13" s="3" t="str">
        <f t="shared" si="5"/>
        <v>Dana/Non-COD</v>
      </c>
      <c r="N13" s="21" t="s">
        <v>44</v>
      </c>
      <c r="O13" s="3" t="str">
        <f t="shared" si="6"/>
        <v>Jawa Timur</v>
      </c>
      <c r="P13" s="3" t="str">
        <f>VLOOKUP(MID(A13,12,2),Master_Data!$G$8:$I$10,2)</f>
        <v>SiCepat</v>
      </c>
      <c r="Q13" s="2" t="str">
        <f>VLOOKUP(MID(A13,12,2),Master_Data!$G$8:$I$10,3)&amp;" hari"</f>
        <v>2 hari</v>
      </c>
    </row>
    <row r="14" spans="1:17" x14ac:dyDescent="0.25">
      <c r="A14" s="18" t="s">
        <v>113</v>
      </c>
      <c r="B14" s="19">
        <v>45734</v>
      </c>
      <c r="C14" s="18" t="s">
        <v>14</v>
      </c>
      <c r="D14" s="3" t="str">
        <f>VLOOKUP(MID(A14,5,6),Master_Data!$C$8:$D$13,2,0)</f>
        <v>SMARTPHONE</v>
      </c>
      <c r="E14" s="3" t="str">
        <f>INDEX(Master_Data!$B$8:$B$13,MATCH(MID(A14,5,6),Master_Data!$C$8:$C$13,0))</f>
        <v>Samsung A15</v>
      </c>
      <c r="F14" s="20">
        <v>1</v>
      </c>
      <c r="G14" s="28">
        <f>VLOOKUP(E14,Master_Data!$B$8:$E$13,4,0)</f>
        <v>2200000</v>
      </c>
      <c r="H14" s="29">
        <f t="shared" si="0"/>
        <v>2200000</v>
      </c>
      <c r="I14" s="15">
        <f t="shared" si="1"/>
        <v>0</v>
      </c>
      <c r="J14" s="28">
        <f t="shared" si="2"/>
        <v>2200000</v>
      </c>
      <c r="K14" s="29">
        <f t="shared" si="3"/>
        <v>242000</v>
      </c>
      <c r="L14" s="29">
        <f t="shared" si="4"/>
        <v>2442000</v>
      </c>
      <c r="M14" s="3" t="str">
        <f t="shared" si="5"/>
        <v>Dana/Non-COD</v>
      </c>
      <c r="N14" s="21" t="s">
        <v>45</v>
      </c>
      <c r="O14" s="3" t="str">
        <f t="shared" si="6"/>
        <v>Jawa Tengah</v>
      </c>
      <c r="P14" s="3" t="str">
        <f>VLOOKUP(MID(A14,12,2),Master_Data!$G$8:$I$10,2)</f>
        <v>Kurir J&amp;T</v>
      </c>
      <c r="Q14" s="2" t="str">
        <f>VLOOKUP(MID(A14,12,2),Master_Data!$G$8:$I$10,3)&amp;" hari"</f>
        <v>3 hari</v>
      </c>
    </row>
    <row r="15" spans="1:17" x14ac:dyDescent="0.25">
      <c r="A15" s="18" t="s">
        <v>147</v>
      </c>
      <c r="B15" s="19">
        <v>45735</v>
      </c>
      <c r="C15" s="18" t="s">
        <v>18</v>
      </c>
      <c r="D15" s="3" t="str">
        <f>VLOOKUP(MID(A15,5,6),Master_Data!$C$8:$D$13,2,0)</f>
        <v>AKSESORIS</v>
      </c>
      <c r="E15" s="3" t="str">
        <f>INDEX(Master_Data!$B$8:$B$13,MATCH(MID(A15,5,6),Master_Data!$C$8:$C$13,0))</f>
        <v>Logitech Mouse</v>
      </c>
      <c r="F15" s="20">
        <v>1</v>
      </c>
      <c r="G15" s="28">
        <f>VLOOKUP(E15,Master_Data!$B$8:$E$13,4,0)</f>
        <v>150000</v>
      </c>
      <c r="H15" s="29">
        <f t="shared" si="0"/>
        <v>150000</v>
      </c>
      <c r="I15" s="15">
        <f t="shared" si="1"/>
        <v>0</v>
      </c>
      <c r="J15" s="28">
        <f t="shared" si="2"/>
        <v>150000</v>
      </c>
      <c r="K15" s="29">
        <f t="shared" si="3"/>
        <v>16500</v>
      </c>
      <c r="L15" s="29">
        <f t="shared" si="4"/>
        <v>166500</v>
      </c>
      <c r="M15" s="3" t="str">
        <f t="shared" si="5"/>
        <v>Dana/Non-COD</v>
      </c>
      <c r="N15" s="21" t="s">
        <v>46</v>
      </c>
      <c r="O15" s="3" t="str">
        <f t="shared" si="6"/>
        <v>DKI Jakarta</v>
      </c>
      <c r="P15" s="3" t="str">
        <f>VLOOKUP(MID(A15,12,2),Master_Data!$G$8:$I$10,2)</f>
        <v>Kurir J&amp;T</v>
      </c>
      <c r="Q15" s="2" t="str">
        <f>VLOOKUP(MID(A15,12,2),Master_Data!$G$8:$I$10,3)&amp;" hari"</f>
        <v>3 hari</v>
      </c>
    </row>
    <row r="16" spans="1:17" x14ac:dyDescent="0.25">
      <c r="A16" s="18" t="s">
        <v>137</v>
      </c>
      <c r="B16" s="19">
        <v>45736</v>
      </c>
      <c r="C16" s="18" t="s">
        <v>15</v>
      </c>
      <c r="D16" s="3" t="str">
        <f>VLOOKUP(MID(A16,5,6),Master_Data!$C$8:$D$13,2,0)</f>
        <v>SMARTPHONE</v>
      </c>
      <c r="E16" s="3" t="str">
        <f>INDEX(Master_Data!$B$8:$B$13,MATCH(MID(A16,5,6),Master_Data!$C$8:$C$13,0))</f>
        <v>Iphone 16 128GB</v>
      </c>
      <c r="F16" s="20">
        <v>2</v>
      </c>
      <c r="G16" s="28">
        <f>VLOOKUP(E16,Master_Data!$B$8:$E$13,4,0)</f>
        <v>14999000</v>
      </c>
      <c r="H16" s="29">
        <f t="shared" si="0"/>
        <v>29998000</v>
      </c>
      <c r="I16" s="15">
        <f t="shared" si="1"/>
        <v>0.06</v>
      </c>
      <c r="J16" s="28">
        <f t="shared" si="2"/>
        <v>28198120</v>
      </c>
      <c r="K16" s="29">
        <f t="shared" si="3"/>
        <v>3101793.2</v>
      </c>
      <c r="L16" s="29">
        <f t="shared" si="4"/>
        <v>31299913.199999999</v>
      </c>
      <c r="M16" s="3" t="str">
        <f t="shared" si="5"/>
        <v>GoPay/Non-COD</v>
      </c>
      <c r="N16" s="21" t="s">
        <v>47</v>
      </c>
      <c r="O16" s="3" t="str">
        <f t="shared" si="6"/>
        <v>Jawa Barat</v>
      </c>
      <c r="P16" s="3" t="str">
        <f>VLOOKUP(MID(A16,12,2),Master_Data!$G$8:$I$10,2)</f>
        <v>Kurir J&amp;T</v>
      </c>
      <c r="Q16" s="2" t="str">
        <f>VLOOKUP(MID(A16,12,2),Master_Data!$G$8:$I$10,3)&amp;" hari"</f>
        <v>3 hari</v>
      </c>
    </row>
    <row r="17" spans="1:17" x14ac:dyDescent="0.25">
      <c r="A17" s="18" t="s">
        <v>148</v>
      </c>
      <c r="B17" s="19">
        <v>45741</v>
      </c>
      <c r="C17" s="18" t="s">
        <v>17</v>
      </c>
      <c r="D17" s="3" t="str">
        <f>VLOOKUP(MID(A17,5,6),Master_Data!$C$8:$D$13,2,0)</f>
        <v>SMARTPHONE</v>
      </c>
      <c r="E17" s="3" t="str">
        <f>INDEX(Master_Data!$B$8:$B$13,MATCH(MID(A17,5,6),Master_Data!$C$8:$C$13,0))</f>
        <v>Samsung A15</v>
      </c>
      <c r="F17" s="20">
        <v>1</v>
      </c>
      <c r="G17" s="28">
        <f>VLOOKUP(E17,Master_Data!$B$8:$E$13,4,0)</f>
        <v>2200000</v>
      </c>
      <c r="H17" s="29">
        <f t="shared" si="0"/>
        <v>2200000</v>
      </c>
      <c r="I17" s="15">
        <f t="shared" si="1"/>
        <v>0</v>
      </c>
      <c r="J17" s="28">
        <f t="shared" si="2"/>
        <v>2200000</v>
      </c>
      <c r="K17" s="29">
        <f t="shared" si="3"/>
        <v>242000</v>
      </c>
      <c r="L17" s="29">
        <f t="shared" si="4"/>
        <v>2442000</v>
      </c>
      <c r="M17" s="3" t="str">
        <f t="shared" si="5"/>
        <v>Dana/Non-COD</v>
      </c>
      <c r="N17" s="21" t="s">
        <v>48</v>
      </c>
      <c r="O17" s="3" t="str">
        <f t="shared" si="6"/>
        <v>Jawa Barat</v>
      </c>
      <c r="P17" s="3" t="str">
        <f>VLOOKUP(MID(A17,12,2),Master_Data!$G$8:$I$10,2)</f>
        <v>Kurir J&amp;T</v>
      </c>
      <c r="Q17" s="2" t="str">
        <f>VLOOKUP(MID(A17,12,2),Master_Data!$G$8:$I$10,3)&amp;" hari"</f>
        <v>3 hari</v>
      </c>
    </row>
    <row r="18" spans="1:17" x14ac:dyDescent="0.25">
      <c r="A18" s="18" t="s">
        <v>149</v>
      </c>
      <c r="B18" s="19">
        <v>45742</v>
      </c>
      <c r="C18" s="18" t="s">
        <v>17</v>
      </c>
      <c r="D18" s="3" t="str">
        <f>VLOOKUP(MID(A18,5,6),Master_Data!$C$8:$D$13,2,0)</f>
        <v>LAPTOP</v>
      </c>
      <c r="E18" s="3" t="str">
        <f>INDEX(Master_Data!$B$8:$B$13,MATCH(MID(A18,5,6),Master_Data!$C$8:$C$13,0))</f>
        <v>Acer Aspire 5</v>
      </c>
      <c r="F18" s="20">
        <v>1</v>
      </c>
      <c r="G18" s="28">
        <f>VLOOKUP(E18,Master_Data!$B$8:$E$13,4,0)</f>
        <v>9000000</v>
      </c>
      <c r="H18" s="29">
        <f t="shared" si="0"/>
        <v>9000000</v>
      </c>
      <c r="I18" s="15">
        <f t="shared" si="1"/>
        <v>0.08</v>
      </c>
      <c r="J18" s="28">
        <f t="shared" si="2"/>
        <v>8280000</v>
      </c>
      <c r="K18" s="29">
        <f t="shared" si="3"/>
        <v>910800</v>
      </c>
      <c r="L18" s="29">
        <f t="shared" si="4"/>
        <v>9190800</v>
      </c>
      <c r="M18" s="3" t="str">
        <f t="shared" si="5"/>
        <v>COD/Cash</v>
      </c>
      <c r="N18" s="21" t="s">
        <v>49</v>
      </c>
      <c r="O18" s="3" t="str">
        <f t="shared" si="6"/>
        <v>Jawa Barat</v>
      </c>
      <c r="P18" s="3" t="str">
        <f>VLOOKUP(MID(A18,12,2),Master_Data!$G$8:$I$10,2)</f>
        <v>Kurir J&amp;T</v>
      </c>
      <c r="Q18" s="2" t="str">
        <f>VLOOKUP(MID(A18,12,2),Master_Data!$G$8:$I$10,3)&amp;" hari"</f>
        <v>3 hari</v>
      </c>
    </row>
    <row r="19" spans="1:17" x14ac:dyDescent="0.25">
      <c r="A19" s="18" t="s">
        <v>150</v>
      </c>
      <c r="B19" s="19">
        <v>45743</v>
      </c>
      <c r="C19" s="18" t="s">
        <v>19</v>
      </c>
      <c r="D19" s="3" t="str">
        <f>VLOOKUP(MID(A19,5,6),Master_Data!$C$8:$D$13,2,0)</f>
        <v>AKSESORIS</v>
      </c>
      <c r="E19" s="3" t="str">
        <f>INDEX(Master_Data!$B$8:$B$13,MATCH(MID(A19,5,6),Master_Data!$C$8:$C$13,0))</f>
        <v>AirPods Gen-2</v>
      </c>
      <c r="F19" s="20">
        <v>1</v>
      </c>
      <c r="G19" s="28">
        <f>VLOOKUP(E19,Master_Data!$B$8:$E$13,4,0)</f>
        <v>1899000</v>
      </c>
      <c r="H19" s="29">
        <f t="shared" si="0"/>
        <v>1899000</v>
      </c>
      <c r="I19" s="15">
        <f t="shared" si="1"/>
        <v>0.03</v>
      </c>
      <c r="J19" s="28">
        <f t="shared" si="2"/>
        <v>1842030</v>
      </c>
      <c r="K19" s="29">
        <f t="shared" si="3"/>
        <v>202623.3</v>
      </c>
      <c r="L19" s="29">
        <f t="shared" si="4"/>
        <v>2044653.3</v>
      </c>
      <c r="M19" s="3" t="str">
        <f t="shared" si="5"/>
        <v>COD/Cash</v>
      </c>
      <c r="N19" s="21" t="s">
        <v>50</v>
      </c>
      <c r="O19" s="3" t="str">
        <f t="shared" si="6"/>
        <v>DKI Jakarta</v>
      </c>
      <c r="P19" s="3" t="str">
        <f>VLOOKUP(MID(A19,12,2),Master_Data!$G$8:$I$10,2)</f>
        <v>SiCepat</v>
      </c>
      <c r="Q19" s="2" t="str">
        <f>VLOOKUP(MID(A19,12,2),Master_Data!$G$8:$I$10,3)&amp;" hari"</f>
        <v>2 hari</v>
      </c>
    </row>
    <row r="20" spans="1:17" x14ac:dyDescent="0.25">
      <c r="A20" s="18" t="s">
        <v>151</v>
      </c>
      <c r="B20" s="19">
        <v>45744</v>
      </c>
      <c r="C20" s="18" t="s">
        <v>14</v>
      </c>
      <c r="D20" s="3" t="str">
        <f>VLOOKUP(MID(A20,5,6),Master_Data!$C$8:$D$13,2,0)</f>
        <v>AKSESORIS</v>
      </c>
      <c r="E20" s="3" t="str">
        <f>INDEX(Master_Data!$B$8:$B$13,MATCH(MID(A20,5,6),Master_Data!$C$8:$C$13,0))</f>
        <v>Logitech Mouse</v>
      </c>
      <c r="F20" s="20">
        <v>3</v>
      </c>
      <c r="G20" s="28">
        <f>VLOOKUP(E20,Master_Data!$B$8:$E$13,4,0)</f>
        <v>150000</v>
      </c>
      <c r="H20" s="29">
        <f t="shared" si="0"/>
        <v>450000</v>
      </c>
      <c r="I20" s="15">
        <f t="shared" si="1"/>
        <v>0</v>
      </c>
      <c r="J20" s="28">
        <f t="shared" si="2"/>
        <v>450000</v>
      </c>
      <c r="K20" s="29">
        <f t="shared" si="3"/>
        <v>49500</v>
      </c>
      <c r="L20" s="29">
        <f t="shared" si="4"/>
        <v>499500</v>
      </c>
      <c r="M20" s="3" t="str">
        <f t="shared" si="5"/>
        <v>COD/Cash</v>
      </c>
      <c r="N20" s="21" t="s">
        <v>51</v>
      </c>
      <c r="O20" s="3" t="str">
        <f t="shared" si="6"/>
        <v>Jawa Tengah</v>
      </c>
      <c r="P20" s="3" t="str">
        <f>VLOOKUP(MID(A20,12,2),Master_Data!$G$8:$I$10,2)</f>
        <v>SiCepat</v>
      </c>
      <c r="Q20" s="2" t="str">
        <f>VLOOKUP(MID(A20,12,2),Master_Data!$G$8:$I$10,3)&amp;" hari"</f>
        <v>2 hari</v>
      </c>
    </row>
    <row r="21" spans="1:17" x14ac:dyDescent="0.25">
      <c r="A21" s="18" t="s">
        <v>127</v>
      </c>
      <c r="B21" s="19">
        <v>45745</v>
      </c>
      <c r="C21" s="18" t="s">
        <v>17</v>
      </c>
      <c r="D21" s="3" t="str">
        <f>VLOOKUP(MID(A21,5,6),Master_Data!$C$8:$D$13,2,0)</f>
        <v>AKSESORIS</v>
      </c>
      <c r="E21" s="3" t="str">
        <f>INDEX(Master_Data!$B$8:$B$13,MATCH(MID(A21,5,6),Master_Data!$C$8:$C$13,0))</f>
        <v>Logitech Mouse</v>
      </c>
      <c r="F21" s="20">
        <v>3</v>
      </c>
      <c r="G21" s="28">
        <f>VLOOKUP(E21,Master_Data!$B$8:$E$13,4,0)</f>
        <v>150000</v>
      </c>
      <c r="H21" s="29">
        <f t="shared" si="0"/>
        <v>450000</v>
      </c>
      <c r="I21" s="15">
        <f t="shared" si="1"/>
        <v>0</v>
      </c>
      <c r="J21" s="28">
        <f t="shared" si="2"/>
        <v>450000</v>
      </c>
      <c r="K21" s="29">
        <f t="shared" si="3"/>
        <v>49500</v>
      </c>
      <c r="L21" s="29">
        <f t="shared" si="4"/>
        <v>499500</v>
      </c>
      <c r="M21" s="3" t="str">
        <f t="shared" si="5"/>
        <v>COD/Cash</v>
      </c>
      <c r="N21" s="21" t="s">
        <v>52</v>
      </c>
      <c r="O21" s="3" t="str">
        <f t="shared" si="6"/>
        <v>Jawa Timur</v>
      </c>
      <c r="P21" s="3" t="str">
        <f>VLOOKUP(MID(A21,12,2),Master_Data!$G$8:$I$10,2)</f>
        <v>SiCepat</v>
      </c>
      <c r="Q21" s="2" t="str">
        <f>VLOOKUP(MID(A21,12,2),Master_Data!$G$8:$I$10,3)&amp;" hari"</f>
        <v>2 hari</v>
      </c>
    </row>
    <row r="22" spans="1:17" x14ac:dyDescent="0.25">
      <c r="A22" s="18" t="s">
        <v>152</v>
      </c>
      <c r="B22" s="19">
        <v>45746</v>
      </c>
      <c r="C22" s="18" t="s">
        <v>15</v>
      </c>
      <c r="D22" s="3" t="str">
        <f>VLOOKUP(MID(A22,5,6),Master_Data!$C$8:$D$13,2,0)</f>
        <v>SMARTPHONE</v>
      </c>
      <c r="E22" s="3" t="str">
        <f>INDEX(Master_Data!$B$8:$B$13,MATCH(MID(A22,5,6),Master_Data!$C$8:$C$13,0))</f>
        <v>Iphone 16 128GB</v>
      </c>
      <c r="F22" s="20">
        <v>2</v>
      </c>
      <c r="G22" s="28">
        <f>VLOOKUP(E22,Master_Data!$B$8:$E$13,4,0)</f>
        <v>14999000</v>
      </c>
      <c r="H22" s="29">
        <f t="shared" si="0"/>
        <v>29998000</v>
      </c>
      <c r="I22" s="15">
        <f t="shared" si="1"/>
        <v>0.06</v>
      </c>
      <c r="J22" s="28">
        <f t="shared" si="2"/>
        <v>28198120</v>
      </c>
      <c r="K22" s="29">
        <f t="shared" si="3"/>
        <v>3101793.2</v>
      </c>
      <c r="L22" s="29">
        <f t="shared" si="4"/>
        <v>31299913.199999999</v>
      </c>
      <c r="M22" s="3" t="str">
        <f t="shared" si="5"/>
        <v>Dana/Non-COD</v>
      </c>
      <c r="N22" s="21" t="s">
        <v>53</v>
      </c>
      <c r="O22" s="3" t="str">
        <f t="shared" si="6"/>
        <v>DKI Jakarta</v>
      </c>
      <c r="P22" s="3" t="str">
        <f>VLOOKUP(MID(A22,12,2),Master_Data!$G$8:$I$10,2)</f>
        <v>SiCepat</v>
      </c>
      <c r="Q22" s="2" t="str">
        <f>VLOOKUP(MID(A22,12,2),Master_Data!$G$8:$I$10,3)&amp;" hari"</f>
        <v>2 hari</v>
      </c>
    </row>
    <row r="23" spans="1:17" x14ac:dyDescent="0.25">
      <c r="A23" s="18" t="s">
        <v>116</v>
      </c>
      <c r="B23" s="19">
        <v>45747</v>
      </c>
      <c r="C23" s="18" t="s">
        <v>16</v>
      </c>
      <c r="D23" s="3" t="str">
        <f>VLOOKUP(MID(A23,5,6),Master_Data!$C$8:$D$13,2,0)</f>
        <v>AKSESORIS</v>
      </c>
      <c r="E23" s="3" t="str">
        <f>INDEX(Master_Data!$B$8:$B$13,MATCH(MID(A23,5,6),Master_Data!$C$8:$C$13,0))</f>
        <v>AirPods Gen-2</v>
      </c>
      <c r="F23" s="20">
        <v>2</v>
      </c>
      <c r="G23" s="28">
        <f>VLOOKUP(E23,Master_Data!$B$8:$E$13,4,0)</f>
        <v>1899000</v>
      </c>
      <c r="H23" s="29">
        <f t="shared" si="0"/>
        <v>3798000</v>
      </c>
      <c r="I23" s="15">
        <f t="shared" si="1"/>
        <v>0.03</v>
      </c>
      <c r="J23" s="28">
        <f t="shared" si="2"/>
        <v>3684060</v>
      </c>
      <c r="K23" s="29">
        <f t="shared" si="3"/>
        <v>405246.6</v>
      </c>
      <c r="L23" s="29">
        <f t="shared" si="4"/>
        <v>4089306.6</v>
      </c>
      <c r="M23" s="3" t="str">
        <f t="shared" si="5"/>
        <v>COD/Cash</v>
      </c>
      <c r="N23" s="21" t="s">
        <v>54</v>
      </c>
      <c r="O23" s="3" t="str">
        <f t="shared" si="6"/>
        <v>Jawa Barat</v>
      </c>
      <c r="P23" s="3" t="str">
        <f>VLOOKUP(MID(A23,12,2),Master_Data!$G$8:$I$10,2)</f>
        <v>Kurir J&amp;T</v>
      </c>
      <c r="Q23" s="2" t="str">
        <f>VLOOKUP(MID(A23,12,2),Master_Data!$G$8:$I$10,3)&amp;" hari"</f>
        <v>3 hari</v>
      </c>
    </row>
    <row r="24" spans="1:17" x14ac:dyDescent="0.25">
      <c r="A24" s="18" t="s">
        <v>153</v>
      </c>
      <c r="B24" s="19">
        <v>45748</v>
      </c>
      <c r="C24" s="18" t="s">
        <v>14</v>
      </c>
      <c r="D24" s="3" t="str">
        <f>VLOOKUP(MID(A24,5,6),Master_Data!$C$8:$D$13,2,0)</f>
        <v>SMARTPHONE</v>
      </c>
      <c r="E24" s="3" t="str">
        <f>INDEX(Master_Data!$B$8:$B$13,MATCH(MID(A24,5,6),Master_Data!$C$8:$C$13,0))</f>
        <v>Iphone 16 128GB</v>
      </c>
      <c r="F24" s="20">
        <v>6</v>
      </c>
      <c r="G24" s="28">
        <f>VLOOKUP(E24,Master_Data!$B$8:$E$13,4,0)</f>
        <v>14999000</v>
      </c>
      <c r="H24" s="29">
        <f t="shared" si="0"/>
        <v>89994000</v>
      </c>
      <c r="I24" s="15">
        <f t="shared" si="1"/>
        <v>0.06</v>
      </c>
      <c r="J24" s="28">
        <f t="shared" si="2"/>
        <v>84594360</v>
      </c>
      <c r="K24" s="29">
        <f t="shared" si="3"/>
        <v>9305379.5999999996</v>
      </c>
      <c r="L24" s="29">
        <f t="shared" si="4"/>
        <v>93899739.599999994</v>
      </c>
      <c r="M24" s="3" t="str">
        <f t="shared" si="5"/>
        <v>Dana/Non-COD</v>
      </c>
      <c r="N24" s="21" t="s">
        <v>55</v>
      </c>
      <c r="O24" s="3" t="str">
        <f t="shared" si="6"/>
        <v>Jawa Barat</v>
      </c>
      <c r="P24" s="3" t="str">
        <f>VLOOKUP(MID(A24,12,2),Master_Data!$G$8:$I$10,2)</f>
        <v>SiCepat</v>
      </c>
      <c r="Q24" s="2" t="str">
        <f>VLOOKUP(MID(A24,12,2),Master_Data!$G$8:$I$10,3)&amp;" hari"</f>
        <v>2 hari</v>
      </c>
    </row>
    <row r="25" spans="1:17" x14ac:dyDescent="0.25">
      <c r="A25" s="18" t="s">
        <v>154</v>
      </c>
      <c r="B25" s="19">
        <v>45749</v>
      </c>
      <c r="C25" s="18" t="s">
        <v>17</v>
      </c>
      <c r="D25" s="3" t="str">
        <f>VLOOKUP(MID(A25,5,6),Master_Data!$C$8:$D$13,2,0)</f>
        <v>LAPTOP</v>
      </c>
      <c r="E25" s="3" t="str">
        <f>INDEX(Master_Data!$B$8:$B$13,MATCH(MID(A25,5,6),Master_Data!$C$8:$C$13,0))</f>
        <v>Lenovo Idepad</v>
      </c>
      <c r="F25" s="20">
        <v>5</v>
      </c>
      <c r="G25" s="28">
        <f>VLOOKUP(E25,Master_Data!$B$8:$E$13,4,0)</f>
        <v>8500000</v>
      </c>
      <c r="H25" s="29">
        <f t="shared" si="0"/>
        <v>42500000</v>
      </c>
      <c r="I25" s="15">
        <f t="shared" si="1"/>
        <v>0</v>
      </c>
      <c r="J25" s="28">
        <f t="shared" si="2"/>
        <v>42500000</v>
      </c>
      <c r="K25" s="29">
        <f t="shared" si="3"/>
        <v>4675000</v>
      </c>
      <c r="L25" s="29">
        <f t="shared" si="4"/>
        <v>47175000</v>
      </c>
      <c r="M25" s="3" t="str">
        <f t="shared" si="5"/>
        <v>GoPay/Non-COD</v>
      </c>
      <c r="N25" s="21" t="s">
        <v>56</v>
      </c>
      <c r="O25" s="3" t="str">
        <f t="shared" si="6"/>
        <v>Jawa Barat</v>
      </c>
      <c r="P25" s="3" t="str">
        <f>VLOOKUP(MID(A25,12,2),Master_Data!$G$8:$I$10,2)</f>
        <v>SiCepat</v>
      </c>
      <c r="Q25" s="2" t="str">
        <f>VLOOKUP(MID(A25,12,2),Master_Data!$G$8:$I$10,3)&amp;" hari"</f>
        <v>2 hari</v>
      </c>
    </row>
    <row r="26" spans="1:17" x14ac:dyDescent="0.25">
      <c r="A26" s="18" t="s">
        <v>131</v>
      </c>
      <c r="B26" s="19">
        <v>45750</v>
      </c>
      <c r="C26" s="18" t="s">
        <v>19</v>
      </c>
      <c r="D26" s="3" t="str">
        <f>VLOOKUP(MID(A26,5,6),Master_Data!$C$8:$D$13,2,0)</f>
        <v>LAPTOP</v>
      </c>
      <c r="E26" s="3" t="str">
        <f>INDEX(Master_Data!$B$8:$B$13,MATCH(MID(A26,5,6),Master_Data!$C$8:$C$13,0))</f>
        <v>Lenovo Idepad</v>
      </c>
      <c r="F26" s="20">
        <v>4</v>
      </c>
      <c r="G26" s="28">
        <f>VLOOKUP(E26,Master_Data!$B$8:$E$13,4,0)</f>
        <v>8500000</v>
      </c>
      <c r="H26" s="29">
        <f t="shared" si="0"/>
        <v>34000000</v>
      </c>
      <c r="I26" s="15">
        <f t="shared" si="1"/>
        <v>0</v>
      </c>
      <c r="J26" s="28">
        <f t="shared" si="2"/>
        <v>34000000</v>
      </c>
      <c r="K26" s="29">
        <f t="shared" si="3"/>
        <v>3740000</v>
      </c>
      <c r="L26" s="29">
        <f t="shared" si="4"/>
        <v>37740000</v>
      </c>
      <c r="M26" s="3" t="str">
        <f t="shared" si="5"/>
        <v>COD/Cash</v>
      </c>
      <c r="N26" s="21" t="s">
        <v>57</v>
      </c>
      <c r="O26" s="3" t="str">
        <f t="shared" si="6"/>
        <v>DKI Jakarta</v>
      </c>
      <c r="P26" s="3" t="str">
        <f>VLOOKUP(MID(A26,12,2),Master_Data!$G$8:$I$10,2)</f>
        <v>Kurir J&amp;T</v>
      </c>
      <c r="Q26" s="2" t="str">
        <f>VLOOKUP(MID(A26,12,2),Master_Data!$G$8:$I$10,3)&amp;" hari"</f>
        <v>3 hari</v>
      </c>
    </row>
    <row r="27" spans="1:17" x14ac:dyDescent="0.25">
      <c r="A27" s="18" t="s">
        <v>132</v>
      </c>
      <c r="B27" s="19">
        <v>45751</v>
      </c>
      <c r="C27" s="18" t="s">
        <v>14</v>
      </c>
      <c r="D27" s="3" t="str">
        <f>VLOOKUP(MID(A27,5,6),Master_Data!$C$8:$D$13,2,0)</f>
        <v>AKSESORIS</v>
      </c>
      <c r="E27" s="3" t="str">
        <f>INDEX(Master_Data!$B$8:$B$13,MATCH(MID(A27,5,6),Master_Data!$C$8:$C$13,0))</f>
        <v>AirPods Gen-2</v>
      </c>
      <c r="F27" s="20">
        <v>2</v>
      </c>
      <c r="G27" s="28">
        <f>VLOOKUP(E27,Master_Data!$B$8:$E$13,4,0)</f>
        <v>1899000</v>
      </c>
      <c r="H27" s="29">
        <f t="shared" si="0"/>
        <v>3798000</v>
      </c>
      <c r="I27" s="15">
        <f t="shared" si="1"/>
        <v>0.03</v>
      </c>
      <c r="J27" s="28">
        <f t="shared" si="2"/>
        <v>3684060</v>
      </c>
      <c r="K27" s="29">
        <f t="shared" si="3"/>
        <v>405246.6</v>
      </c>
      <c r="L27" s="29">
        <f t="shared" si="4"/>
        <v>4089306.6</v>
      </c>
      <c r="M27" s="3" t="str">
        <f t="shared" si="5"/>
        <v>Dana/Non-COD</v>
      </c>
      <c r="N27" s="21" t="s">
        <v>58</v>
      </c>
      <c r="O27" s="3" t="str">
        <f t="shared" si="6"/>
        <v>Jawa Barat</v>
      </c>
      <c r="P27" s="3" t="str">
        <f>VLOOKUP(MID(A27,12,2),Master_Data!$G$8:$I$10,2)</f>
        <v>Kurir J&amp;T</v>
      </c>
      <c r="Q27" s="2" t="str">
        <f>VLOOKUP(MID(A27,12,2),Master_Data!$G$8:$I$10,3)&amp;" hari"</f>
        <v>3 hari</v>
      </c>
    </row>
    <row r="28" spans="1:17" x14ac:dyDescent="0.25">
      <c r="A28" s="18" t="s">
        <v>133</v>
      </c>
      <c r="B28" s="19">
        <v>45751</v>
      </c>
      <c r="C28" s="18" t="s">
        <v>19</v>
      </c>
      <c r="D28" s="3" t="str">
        <f>VLOOKUP(MID(A28,5,6),Master_Data!$C$8:$D$13,2,0)</f>
        <v>LAPTOP</v>
      </c>
      <c r="E28" s="3" t="str">
        <f>INDEX(Master_Data!$B$8:$B$13,MATCH(MID(A28,5,6),Master_Data!$C$8:$C$13,0))</f>
        <v>Acer Aspire 5</v>
      </c>
      <c r="F28" s="20">
        <v>1</v>
      </c>
      <c r="G28" s="28">
        <f>VLOOKUP(E28,Master_Data!$B$8:$E$13,4,0)</f>
        <v>9000000</v>
      </c>
      <c r="H28" s="29">
        <f t="shared" si="0"/>
        <v>9000000</v>
      </c>
      <c r="I28" s="15">
        <f t="shared" si="1"/>
        <v>0.08</v>
      </c>
      <c r="J28" s="28">
        <f t="shared" si="2"/>
        <v>8280000</v>
      </c>
      <c r="K28" s="29">
        <f t="shared" si="3"/>
        <v>910800</v>
      </c>
      <c r="L28" s="29">
        <f t="shared" si="4"/>
        <v>9190800</v>
      </c>
      <c r="M28" s="3" t="str">
        <f t="shared" si="5"/>
        <v>Dana/Non-COD</v>
      </c>
      <c r="N28" s="21" t="s">
        <v>59</v>
      </c>
      <c r="O28" s="3" t="str">
        <f t="shared" si="6"/>
        <v>Jawa Tengah</v>
      </c>
      <c r="P28" s="3" t="str">
        <f>VLOOKUP(MID(A28,12,2),Master_Data!$G$8:$I$10,2)</f>
        <v>Kurir J&amp;T</v>
      </c>
      <c r="Q28" s="2" t="str">
        <f>VLOOKUP(MID(A28,12,2),Master_Data!$G$8:$I$10,3)&amp;" hari"</f>
        <v>3 hari</v>
      </c>
    </row>
    <row r="29" spans="1:17" x14ac:dyDescent="0.25">
      <c r="A29" s="18" t="s">
        <v>134</v>
      </c>
      <c r="B29" s="19">
        <v>45752</v>
      </c>
      <c r="C29" s="18" t="s">
        <v>18</v>
      </c>
      <c r="D29" s="3" t="str">
        <f>VLOOKUP(MID(A29,5,6),Master_Data!$C$8:$D$13,2,0)</f>
        <v>AKSESORIS</v>
      </c>
      <c r="E29" s="3" t="str">
        <f>INDEX(Master_Data!$B$8:$B$13,MATCH(MID(A29,5,6),Master_Data!$C$8:$C$13,0))</f>
        <v>Logitech Mouse</v>
      </c>
      <c r="F29" s="20">
        <v>1</v>
      </c>
      <c r="G29" s="28">
        <f>VLOOKUP(E29,Master_Data!$B$8:$E$13,4,0)</f>
        <v>150000</v>
      </c>
      <c r="H29" s="29">
        <f t="shared" si="0"/>
        <v>150000</v>
      </c>
      <c r="I29" s="15">
        <f t="shared" si="1"/>
        <v>0</v>
      </c>
      <c r="J29" s="28">
        <f t="shared" si="2"/>
        <v>150000</v>
      </c>
      <c r="K29" s="29">
        <f t="shared" si="3"/>
        <v>16500</v>
      </c>
      <c r="L29" s="29">
        <f t="shared" si="4"/>
        <v>166500</v>
      </c>
      <c r="M29" s="3" t="str">
        <f t="shared" si="5"/>
        <v>GoPay/Non-COD</v>
      </c>
      <c r="N29" s="21" t="s">
        <v>60</v>
      </c>
      <c r="O29" s="3" t="str">
        <f t="shared" si="6"/>
        <v>DKI Jakarta</v>
      </c>
      <c r="P29" s="3" t="str">
        <f>VLOOKUP(MID(A29,12,2),Master_Data!$G$8:$I$10,2)</f>
        <v>Kurir J&amp;T</v>
      </c>
      <c r="Q29" s="2" t="str">
        <f>VLOOKUP(MID(A29,12,2),Master_Data!$G$8:$I$10,3)&amp;" hari"</f>
        <v>3 hari</v>
      </c>
    </row>
    <row r="30" spans="1:17" x14ac:dyDescent="0.25">
      <c r="A30" s="18" t="s">
        <v>136</v>
      </c>
      <c r="B30" s="19">
        <v>45753</v>
      </c>
      <c r="C30" s="18" t="s">
        <v>20</v>
      </c>
      <c r="D30" s="3" t="str">
        <f>VLOOKUP(MID(A30,5,6),Master_Data!$C$8:$D$13,2,0)</f>
        <v>SMARTPHONE</v>
      </c>
      <c r="E30" s="3" t="str">
        <f>INDEX(Master_Data!$B$8:$B$13,MATCH(MID(A30,5,6),Master_Data!$C$8:$C$13,0))</f>
        <v>Iphone 16 128GB</v>
      </c>
      <c r="F30" s="20">
        <v>1</v>
      </c>
      <c r="G30" s="28">
        <f>VLOOKUP(E30,Master_Data!$B$8:$E$13,4,0)</f>
        <v>14999000</v>
      </c>
      <c r="H30" s="29">
        <f t="shared" si="0"/>
        <v>14999000</v>
      </c>
      <c r="I30" s="15">
        <f t="shared" si="1"/>
        <v>0.06</v>
      </c>
      <c r="J30" s="28">
        <f t="shared" si="2"/>
        <v>14099060</v>
      </c>
      <c r="K30" s="29">
        <f t="shared" si="3"/>
        <v>1550896.6</v>
      </c>
      <c r="L30" s="29">
        <f t="shared" si="4"/>
        <v>15649956.6</v>
      </c>
      <c r="M30" s="3" t="str">
        <f t="shared" si="5"/>
        <v>COD/Cash</v>
      </c>
      <c r="N30" s="21" t="s">
        <v>61</v>
      </c>
      <c r="O30" s="3" t="str">
        <f t="shared" si="6"/>
        <v>DKI Jakarta</v>
      </c>
      <c r="P30" s="3" t="str">
        <f>VLOOKUP(MID(A30,12,2),Master_Data!$G$8:$I$10,2)</f>
        <v>Kurir J&amp;T</v>
      </c>
      <c r="Q30" s="2" t="str">
        <f>VLOOKUP(MID(A30,12,2),Master_Data!$G$8:$I$10,3)&amp;" hari"</f>
        <v>3 hari</v>
      </c>
    </row>
    <row r="31" spans="1:17" x14ac:dyDescent="0.25">
      <c r="A31" s="18" t="s">
        <v>137</v>
      </c>
      <c r="B31" s="19">
        <v>45757</v>
      </c>
      <c r="C31" s="18" t="s">
        <v>14</v>
      </c>
      <c r="D31" s="3" t="str">
        <f>VLOOKUP(MID(A31,5,6),Master_Data!$C$8:$D$13,2,0)</f>
        <v>SMARTPHONE</v>
      </c>
      <c r="E31" s="3" t="str">
        <f>INDEX(Master_Data!$B$8:$B$13,MATCH(MID(A31,5,6),Master_Data!$C$8:$C$13,0))</f>
        <v>Iphone 16 128GB</v>
      </c>
      <c r="F31" s="20">
        <v>2</v>
      </c>
      <c r="G31" s="28">
        <f>VLOOKUP(E31,Master_Data!$B$8:$E$13,4,0)</f>
        <v>14999000</v>
      </c>
      <c r="H31" s="29">
        <f t="shared" si="0"/>
        <v>29998000</v>
      </c>
      <c r="I31" s="15">
        <f t="shared" si="1"/>
        <v>0.06</v>
      </c>
      <c r="J31" s="28">
        <f t="shared" si="2"/>
        <v>28198120</v>
      </c>
      <c r="K31" s="29">
        <f t="shared" si="3"/>
        <v>3101793.2</v>
      </c>
      <c r="L31" s="29">
        <f t="shared" si="4"/>
        <v>31299913.199999999</v>
      </c>
      <c r="M31" s="3" t="str">
        <f t="shared" si="5"/>
        <v>GoPay/Non-COD</v>
      </c>
      <c r="N31" s="21" t="s">
        <v>62</v>
      </c>
      <c r="O31" s="3" t="str">
        <f t="shared" si="6"/>
        <v>Jawa Barat</v>
      </c>
      <c r="P31" s="3" t="str">
        <f>VLOOKUP(MID(A31,12,2),Master_Data!$G$8:$I$10,2)</f>
        <v>Kurir J&amp;T</v>
      </c>
      <c r="Q31" s="2" t="str">
        <f>VLOOKUP(MID(A31,12,2),Master_Data!$G$8:$I$10,3)&amp;" hari"</f>
        <v>3 hari</v>
      </c>
    </row>
    <row r="32" spans="1:17" x14ac:dyDescent="0.25">
      <c r="A32" s="18" t="s">
        <v>138</v>
      </c>
      <c r="B32" s="19">
        <v>45762</v>
      </c>
      <c r="C32" s="18" t="s">
        <v>17</v>
      </c>
      <c r="D32" s="3" t="str">
        <f>VLOOKUP(MID(A32,5,6),Master_Data!$C$8:$D$13,2,0)</f>
        <v>AKSESORIS</v>
      </c>
      <c r="E32" s="3" t="str">
        <f>INDEX(Master_Data!$B$8:$B$13,MATCH(MID(A32,5,6),Master_Data!$C$8:$C$13,0))</f>
        <v>AirPods Gen-2</v>
      </c>
      <c r="F32" s="20">
        <v>3</v>
      </c>
      <c r="G32" s="28">
        <f>VLOOKUP(E32,Master_Data!$B$8:$E$13,4,0)</f>
        <v>1899000</v>
      </c>
      <c r="H32" s="29">
        <f t="shared" si="0"/>
        <v>5697000</v>
      </c>
      <c r="I32" s="15">
        <f t="shared" si="1"/>
        <v>0.03</v>
      </c>
      <c r="J32" s="28">
        <f t="shared" si="2"/>
        <v>5526090</v>
      </c>
      <c r="K32" s="29">
        <f t="shared" si="3"/>
        <v>607869.9</v>
      </c>
      <c r="L32" s="29">
        <f t="shared" si="4"/>
        <v>6133959.9000000004</v>
      </c>
      <c r="M32" s="3" t="str">
        <f t="shared" si="5"/>
        <v>COD/Cash</v>
      </c>
      <c r="N32" s="21" t="s">
        <v>63</v>
      </c>
      <c r="O32" s="3" t="str">
        <f t="shared" si="6"/>
        <v>Jawa Timur</v>
      </c>
      <c r="P32" s="3" t="str">
        <f>VLOOKUP(MID(A32,12,2),Master_Data!$G$8:$I$10,2)</f>
        <v>SiCepat</v>
      </c>
      <c r="Q32" s="2" t="str">
        <f>VLOOKUP(MID(A32,12,2),Master_Data!$G$8:$I$10,3)&amp;" hari"</f>
        <v>2 hari</v>
      </c>
    </row>
    <row r="33" spans="1:17" x14ac:dyDescent="0.25">
      <c r="A33" s="18" t="s">
        <v>139</v>
      </c>
      <c r="B33" s="19">
        <v>45766</v>
      </c>
      <c r="C33" s="18" t="s">
        <v>18</v>
      </c>
      <c r="D33" s="3" t="str">
        <f>VLOOKUP(MID(A33,5,6),Master_Data!$C$8:$D$13,2,0)</f>
        <v>SMARTPHONE</v>
      </c>
      <c r="E33" s="3" t="str">
        <f>INDEX(Master_Data!$B$8:$B$13,MATCH(MID(A33,5,6),Master_Data!$C$8:$C$13,0))</f>
        <v>Samsung A15</v>
      </c>
      <c r="F33" s="20">
        <v>4</v>
      </c>
      <c r="G33" s="28">
        <f>VLOOKUP(E33,Master_Data!$B$8:$E$13,4,0)</f>
        <v>2200000</v>
      </c>
      <c r="H33" s="29">
        <f t="shared" si="0"/>
        <v>8800000</v>
      </c>
      <c r="I33" s="15">
        <f t="shared" si="1"/>
        <v>0</v>
      </c>
      <c r="J33" s="28">
        <f t="shared" si="2"/>
        <v>8800000</v>
      </c>
      <c r="K33" s="29">
        <f t="shared" si="3"/>
        <v>968000</v>
      </c>
      <c r="L33" s="29">
        <f t="shared" si="4"/>
        <v>9768000</v>
      </c>
      <c r="M33" s="3" t="str">
        <f t="shared" si="5"/>
        <v>GoPay/Non-COD</v>
      </c>
      <c r="N33" s="21" t="s">
        <v>64</v>
      </c>
      <c r="O33" s="3" t="str">
        <f t="shared" si="6"/>
        <v>Jawa Timur</v>
      </c>
      <c r="P33" s="3" t="str">
        <f>VLOOKUP(MID(A33,12,2),Master_Data!$G$8:$I$10,2)</f>
        <v>Kurir J&amp;T</v>
      </c>
      <c r="Q33" s="2" t="str">
        <f>VLOOKUP(MID(A33,12,2),Master_Data!$G$8:$I$10,3)&amp;" hari"</f>
        <v>3 hari</v>
      </c>
    </row>
    <row r="34" spans="1:17" x14ac:dyDescent="0.25">
      <c r="A34" s="18" t="s">
        <v>140</v>
      </c>
      <c r="B34" s="19">
        <v>45767</v>
      </c>
      <c r="C34" s="18" t="s">
        <v>16</v>
      </c>
      <c r="D34" s="3" t="str">
        <f>VLOOKUP(MID(A34,5,6),Master_Data!$C$8:$D$13,2,0)</f>
        <v>LAPTOP</v>
      </c>
      <c r="E34" s="3" t="str">
        <f>INDEX(Master_Data!$B$8:$B$13,MATCH(MID(A34,5,6),Master_Data!$C$8:$C$13,0))</f>
        <v>Acer Aspire 5</v>
      </c>
      <c r="F34" s="20">
        <v>3</v>
      </c>
      <c r="G34" s="28">
        <f>VLOOKUP(E34,Master_Data!$B$8:$E$13,4,0)</f>
        <v>9000000</v>
      </c>
      <c r="H34" s="29">
        <f t="shared" si="0"/>
        <v>27000000</v>
      </c>
      <c r="I34" s="15">
        <f t="shared" si="1"/>
        <v>0.08</v>
      </c>
      <c r="J34" s="28">
        <f t="shared" si="2"/>
        <v>24840000</v>
      </c>
      <c r="K34" s="29">
        <f t="shared" si="3"/>
        <v>2732400</v>
      </c>
      <c r="L34" s="29">
        <f t="shared" si="4"/>
        <v>27572400</v>
      </c>
      <c r="M34" s="3" t="str">
        <f t="shared" si="5"/>
        <v>COD/Cash</v>
      </c>
      <c r="N34" s="21" t="s">
        <v>65</v>
      </c>
      <c r="O34" s="3" t="str">
        <f t="shared" si="6"/>
        <v>Jawa Tengah</v>
      </c>
      <c r="P34" s="3" t="str">
        <f>VLOOKUP(MID(A34,12,2),Master_Data!$G$8:$I$10,2)</f>
        <v>Kurir J&amp;T</v>
      </c>
      <c r="Q34" s="2" t="str">
        <f>VLOOKUP(MID(A34,12,2),Master_Data!$G$8:$I$10,3)&amp;" hari"</f>
        <v>3 hari</v>
      </c>
    </row>
    <row r="35" spans="1:17" x14ac:dyDescent="0.25">
      <c r="A35" s="18" t="s">
        <v>141</v>
      </c>
      <c r="B35" s="19">
        <v>45768</v>
      </c>
      <c r="C35" s="18" t="s">
        <v>19</v>
      </c>
      <c r="D35" s="3" t="str">
        <f>VLOOKUP(MID(A35,5,6),Master_Data!$C$8:$D$13,2,0)</f>
        <v>LAPTOP</v>
      </c>
      <c r="E35" s="3" t="str">
        <f>INDEX(Master_Data!$B$8:$B$13,MATCH(MID(A35,5,6),Master_Data!$C$8:$C$13,0))</f>
        <v>Acer Aspire 5</v>
      </c>
      <c r="F35" s="20">
        <v>5</v>
      </c>
      <c r="G35" s="28">
        <f>VLOOKUP(E35,Master_Data!$B$8:$E$13,4,0)</f>
        <v>9000000</v>
      </c>
      <c r="H35" s="29">
        <f t="shared" si="0"/>
        <v>45000000</v>
      </c>
      <c r="I35" s="15">
        <f t="shared" si="1"/>
        <v>0.08</v>
      </c>
      <c r="J35" s="28">
        <f t="shared" si="2"/>
        <v>41400000</v>
      </c>
      <c r="K35" s="29">
        <f t="shared" si="3"/>
        <v>4554000</v>
      </c>
      <c r="L35" s="29">
        <f t="shared" si="4"/>
        <v>45954000</v>
      </c>
      <c r="M35" s="3" t="str">
        <f t="shared" si="5"/>
        <v>COD/Cash</v>
      </c>
      <c r="N35" s="21" t="s">
        <v>66</v>
      </c>
      <c r="O35" s="3" t="str">
        <f t="shared" si="6"/>
        <v>DKI Jakarta</v>
      </c>
      <c r="P35" s="3" t="str">
        <f>VLOOKUP(MID(A35,12,2),Master_Data!$G$8:$I$10,2)</f>
        <v>Kurir J&amp;T</v>
      </c>
      <c r="Q35" s="2" t="str">
        <f>VLOOKUP(MID(A35,12,2),Master_Data!$G$8:$I$10,3)&amp;" hari"</f>
        <v>3 hari</v>
      </c>
    </row>
    <row r="36" spans="1:17" x14ac:dyDescent="0.25">
      <c r="A36" s="18" t="s">
        <v>142</v>
      </c>
      <c r="B36" s="19">
        <v>45772</v>
      </c>
      <c r="C36" s="18" t="s">
        <v>20</v>
      </c>
      <c r="D36" s="3" t="str">
        <f>VLOOKUP(MID(A36,5,6),Master_Data!$C$8:$D$13,2,0)</f>
        <v>AKSESORIS</v>
      </c>
      <c r="E36" s="3" t="str">
        <f>INDEX(Master_Data!$B$8:$B$13,MATCH(MID(A36,5,6),Master_Data!$C$8:$C$13,0))</f>
        <v>Logitech Mouse</v>
      </c>
      <c r="F36" s="20">
        <v>2</v>
      </c>
      <c r="G36" s="28">
        <f>VLOOKUP(E36,Master_Data!$B$8:$E$13,4,0)</f>
        <v>150000</v>
      </c>
      <c r="H36" s="29">
        <f t="shared" si="0"/>
        <v>300000</v>
      </c>
      <c r="I36" s="15">
        <f t="shared" si="1"/>
        <v>0</v>
      </c>
      <c r="J36" s="28">
        <f t="shared" si="2"/>
        <v>300000</v>
      </c>
      <c r="K36" s="29">
        <f t="shared" si="3"/>
        <v>33000</v>
      </c>
      <c r="L36" s="29">
        <f t="shared" si="4"/>
        <v>333000</v>
      </c>
      <c r="M36" s="3" t="str">
        <f t="shared" si="5"/>
        <v>GoPay/Non-COD</v>
      </c>
      <c r="N36" s="21" t="s">
        <v>67</v>
      </c>
      <c r="O36" s="3" t="str">
        <f t="shared" si="6"/>
        <v>DKI Jakarta</v>
      </c>
      <c r="P36" s="3" t="str">
        <f>VLOOKUP(MID(A36,12,2),Master_Data!$G$8:$I$10,2)</f>
        <v>SiCepat</v>
      </c>
      <c r="Q36" s="2" t="str">
        <f>VLOOKUP(MID(A36,12,2),Master_Data!$G$8:$I$10,3)&amp;" hari"</f>
        <v>2 hari</v>
      </c>
    </row>
    <row r="37" spans="1:17" x14ac:dyDescent="0.25">
      <c r="A37" s="18" t="s">
        <v>143</v>
      </c>
      <c r="B37" s="19">
        <v>45774</v>
      </c>
      <c r="C37" s="18" t="s">
        <v>15</v>
      </c>
      <c r="D37" s="3" t="str">
        <f>VLOOKUP(MID(A37,5,6),Master_Data!$C$8:$D$13,2,0)</f>
        <v>SMARTPHONE</v>
      </c>
      <c r="E37" s="3" t="str">
        <f>INDEX(Master_Data!$B$8:$B$13,MATCH(MID(A37,5,6),Master_Data!$C$8:$C$13,0))</f>
        <v>Samsung A15</v>
      </c>
      <c r="F37" s="20">
        <v>7</v>
      </c>
      <c r="G37" s="28">
        <f>VLOOKUP(E37,Master_Data!$B$8:$E$13,4,0)</f>
        <v>2200000</v>
      </c>
      <c r="H37" s="29">
        <f t="shared" si="0"/>
        <v>15400000</v>
      </c>
      <c r="I37" s="15">
        <f t="shared" si="1"/>
        <v>0</v>
      </c>
      <c r="J37" s="28">
        <f t="shared" si="2"/>
        <v>15400000</v>
      </c>
      <c r="K37" s="29">
        <f t="shared" si="3"/>
        <v>1694000</v>
      </c>
      <c r="L37" s="29">
        <f t="shared" si="4"/>
        <v>17094000</v>
      </c>
      <c r="M37" s="3" t="str">
        <f t="shared" si="5"/>
        <v>COD/Cash</v>
      </c>
      <c r="N37" s="21" t="s">
        <v>68</v>
      </c>
      <c r="O37" s="3" t="str">
        <f t="shared" si="6"/>
        <v>Jawa Barat</v>
      </c>
      <c r="P37" s="3" t="str">
        <f>VLOOKUP(MID(A37,12,2),Master_Data!$G$8:$I$10,2)</f>
        <v>Kurir J&amp;T</v>
      </c>
      <c r="Q37" s="2" t="str">
        <f>VLOOKUP(MID(A37,12,2),Master_Data!$G$8:$I$10,3)&amp;" hari"</f>
        <v>3 hari</v>
      </c>
    </row>
    <row r="38" spans="1:17" x14ac:dyDescent="0.25">
      <c r="A38" s="18" t="s">
        <v>107</v>
      </c>
      <c r="B38" s="19">
        <v>45775</v>
      </c>
      <c r="C38" s="18" t="s">
        <v>14</v>
      </c>
      <c r="D38" s="3" t="str">
        <f>VLOOKUP(MID(A38,5,6),Master_Data!$C$8:$D$13,2,0)</f>
        <v>LAPTOP</v>
      </c>
      <c r="E38" s="3" t="str">
        <f>INDEX(Master_Data!$B$8:$B$13,MATCH(MID(A38,5,6),Master_Data!$C$8:$C$13,0))</f>
        <v>Acer Aspire 5</v>
      </c>
      <c r="F38" s="20">
        <v>10</v>
      </c>
      <c r="G38" s="28">
        <f>VLOOKUP(E38,Master_Data!$B$8:$E$13,4,0)</f>
        <v>9000000</v>
      </c>
      <c r="H38" s="29">
        <f t="shared" si="0"/>
        <v>90000000</v>
      </c>
      <c r="I38" s="15">
        <f t="shared" si="1"/>
        <v>0.08</v>
      </c>
      <c r="J38" s="28">
        <f t="shared" si="2"/>
        <v>82800000</v>
      </c>
      <c r="K38" s="29">
        <f t="shared" si="3"/>
        <v>9108000</v>
      </c>
      <c r="L38" s="29">
        <f t="shared" si="4"/>
        <v>91908000</v>
      </c>
      <c r="M38" s="3" t="str">
        <f t="shared" si="5"/>
        <v>GoPay/Non-COD</v>
      </c>
      <c r="N38" s="21" t="s">
        <v>69</v>
      </c>
      <c r="O38" s="3" t="str">
        <f t="shared" si="6"/>
        <v>DKI Jakarta</v>
      </c>
      <c r="P38" s="3" t="str">
        <f>VLOOKUP(MID(A38,12,2),Master_Data!$G$8:$I$10,2)</f>
        <v>Kurir J&amp;T</v>
      </c>
      <c r="Q38" s="2" t="str">
        <f>VLOOKUP(MID(A38,12,2),Master_Data!$G$8:$I$10,3)&amp;" hari"</f>
        <v>3 hari</v>
      </c>
    </row>
    <row r="39" spans="1:17" x14ac:dyDescent="0.25">
      <c r="A39" s="18" t="s">
        <v>135</v>
      </c>
      <c r="B39" s="19">
        <v>45776</v>
      </c>
      <c r="C39" s="18" t="s">
        <v>15</v>
      </c>
      <c r="D39" s="3" t="str">
        <f>VLOOKUP(MID(A39,5,6),Master_Data!$C$8:$D$13,2,0)</f>
        <v>AKSESORIS</v>
      </c>
      <c r="E39" s="3" t="str">
        <f>INDEX(Master_Data!$B$8:$B$13,MATCH(MID(A39,5,6),Master_Data!$C$8:$C$13,0))</f>
        <v>Logitech Mouse</v>
      </c>
      <c r="F39" s="20">
        <v>4</v>
      </c>
      <c r="G39" s="28">
        <f>VLOOKUP(E39,Master_Data!$B$8:$E$13,4,0)</f>
        <v>150000</v>
      </c>
      <c r="H39" s="29">
        <f t="shared" si="0"/>
        <v>600000</v>
      </c>
      <c r="I39" s="15">
        <f t="shared" si="1"/>
        <v>0</v>
      </c>
      <c r="J39" s="28">
        <f t="shared" si="2"/>
        <v>600000</v>
      </c>
      <c r="K39" s="29">
        <f t="shared" si="3"/>
        <v>66000</v>
      </c>
      <c r="L39" s="29">
        <f t="shared" si="4"/>
        <v>666000</v>
      </c>
      <c r="M39" s="3" t="str">
        <f t="shared" si="5"/>
        <v>GoPay/Non-COD</v>
      </c>
      <c r="N39" s="21" t="s">
        <v>70</v>
      </c>
      <c r="O39" s="3" t="str">
        <f t="shared" si="6"/>
        <v>DKI Jakarta</v>
      </c>
      <c r="P39" s="3" t="str">
        <f>VLOOKUP(MID(A39,12,2),Master_Data!$G$8:$I$10,2)</f>
        <v>Kurir J&amp;T</v>
      </c>
      <c r="Q39" s="2" t="str">
        <f>VLOOKUP(MID(A39,12,2),Master_Data!$G$8:$I$10,3)&amp;" hari"</f>
        <v>3 hari</v>
      </c>
    </row>
    <row r="40" spans="1:17" x14ac:dyDescent="0.25">
      <c r="A40" s="18" t="s">
        <v>122</v>
      </c>
      <c r="B40" s="19">
        <v>45777</v>
      </c>
      <c r="C40" s="18" t="s">
        <v>15</v>
      </c>
      <c r="D40" s="3" t="str">
        <f>VLOOKUP(MID(A40,5,6),Master_Data!$C$8:$D$13,2,0)</f>
        <v>SMARTPHONE</v>
      </c>
      <c r="E40" s="3" t="str">
        <f>INDEX(Master_Data!$B$8:$B$13,MATCH(MID(A40,5,6),Master_Data!$C$8:$C$13,0))</f>
        <v>Iphone 16 128GB</v>
      </c>
      <c r="F40" s="20">
        <v>3</v>
      </c>
      <c r="G40" s="28">
        <f>VLOOKUP(E40,Master_Data!$B$8:$E$13,4,0)</f>
        <v>14999000</v>
      </c>
      <c r="H40" s="29">
        <f t="shared" si="0"/>
        <v>44997000</v>
      </c>
      <c r="I40" s="15">
        <f t="shared" si="1"/>
        <v>0.06</v>
      </c>
      <c r="J40" s="28">
        <f t="shared" si="2"/>
        <v>42297180</v>
      </c>
      <c r="K40" s="29">
        <f t="shared" si="3"/>
        <v>4652689.8</v>
      </c>
      <c r="L40" s="29">
        <f t="shared" si="4"/>
        <v>46949869.799999997</v>
      </c>
      <c r="M40" s="3" t="str">
        <f t="shared" si="5"/>
        <v>COD/Cash</v>
      </c>
      <c r="N40" s="21" t="s">
        <v>71</v>
      </c>
      <c r="O40" s="3" t="str">
        <f t="shared" si="6"/>
        <v>Jawa Barat</v>
      </c>
      <c r="P40" s="3" t="str">
        <f>VLOOKUP(MID(A40,12,2),Master_Data!$G$8:$I$10,2)</f>
        <v>SiCepat</v>
      </c>
      <c r="Q40" s="2" t="str">
        <f>VLOOKUP(MID(A40,12,2),Master_Data!$G$8:$I$10,3)&amp;" hari"</f>
        <v>2 hari</v>
      </c>
    </row>
    <row r="41" spans="1:17" x14ac:dyDescent="0.25">
      <c r="A41" s="18" t="s">
        <v>123</v>
      </c>
      <c r="B41" s="19">
        <v>45778</v>
      </c>
      <c r="C41" s="18" t="s">
        <v>16</v>
      </c>
      <c r="D41" s="3" t="str">
        <f>VLOOKUP(MID(A41,5,6),Master_Data!$C$8:$D$13,2,0)</f>
        <v>LAPTOP</v>
      </c>
      <c r="E41" s="3" t="str">
        <f>INDEX(Master_Data!$B$8:$B$13,MATCH(MID(A41,5,6),Master_Data!$C$8:$C$13,0))</f>
        <v>Acer Aspire 5</v>
      </c>
      <c r="F41" s="20">
        <v>2</v>
      </c>
      <c r="G41" s="28">
        <f>VLOOKUP(E41,Master_Data!$B$8:$E$13,4,0)</f>
        <v>9000000</v>
      </c>
      <c r="H41" s="29">
        <f t="shared" si="0"/>
        <v>18000000</v>
      </c>
      <c r="I41" s="15">
        <f t="shared" si="1"/>
        <v>0.08</v>
      </c>
      <c r="J41" s="28">
        <f t="shared" si="2"/>
        <v>16560000</v>
      </c>
      <c r="K41" s="29">
        <f t="shared" si="3"/>
        <v>1821600</v>
      </c>
      <c r="L41" s="29">
        <f t="shared" si="4"/>
        <v>18381600</v>
      </c>
      <c r="M41" s="3" t="str">
        <f t="shared" si="5"/>
        <v>GoPay/Non-COD</v>
      </c>
      <c r="N41" s="21" t="s">
        <v>72</v>
      </c>
      <c r="O41" s="3" t="str">
        <f t="shared" si="6"/>
        <v>Jawa Tengah</v>
      </c>
      <c r="P41" s="3" t="str">
        <f>VLOOKUP(MID(A41,12,2),Master_Data!$G$8:$I$10,2)</f>
        <v>Kurir J&amp;T</v>
      </c>
      <c r="Q41" s="2" t="str">
        <f>VLOOKUP(MID(A41,12,2),Master_Data!$G$8:$I$10,3)&amp;" hari"</f>
        <v>3 hari</v>
      </c>
    </row>
    <row r="42" spans="1:17" x14ac:dyDescent="0.25">
      <c r="A42" s="18" t="s">
        <v>114</v>
      </c>
      <c r="B42" s="19">
        <v>45778</v>
      </c>
      <c r="C42" s="18" t="s">
        <v>17</v>
      </c>
      <c r="D42" s="3" t="str">
        <f>VLOOKUP(MID(A42,5,6),Master_Data!$C$8:$D$13,2,0)</f>
        <v>LAPTOP</v>
      </c>
      <c r="E42" s="3" t="str">
        <f>INDEX(Master_Data!$B$8:$B$13,MATCH(MID(A42,5,6),Master_Data!$C$8:$C$13,0))</f>
        <v>Lenovo Idepad</v>
      </c>
      <c r="F42" s="20">
        <v>5</v>
      </c>
      <c r="G42" s="28">
        <f>VLOOKUP(E42,Master_Data!$B$8:$E$13,4,0)</f>
        <v>8500000</v>
      </c>
      <c r="H42" s="29">
        <f t="shared" si="0"/>
        <v>42500000</v>
      </c>
      <c r="I42" s="15">
        <f t="shared" si="1"/>
        <v>0</v>
      </c>
      <c r="J42" s="28">
        <f t="shared" si="2"/>
        <v>42500000</v>
      </c>
      <c r="K42" s="29">
        <f t="shared" si="3"/>
        <v>4675000</v>
      </c>
      <c r="L42" s="29">
        <f t="shared" si="4"/>
        <v>47175000</v>
      </c>
      <c r="M42" s="3" t="str">
        <f t="shared" si="5"/>
        <v>Dana/Non-COD</v>
      </c>
      <c r="N42" s="21" t="s">
        <v>73</v>
      </c>
      <c r="O42" s="3" t="str">
        <f t="shared" si="6"/>
        <v>Jawa Tengah</v>
      </c>
      <c r="P42" s="3" t="str">
        <f>VLOOKUP(MID(A42,12,2),Master_Data!$G$8:$I$10,2)</f>
        <v>SiCepat</v>
      </c>
      <c r="Q42" s="2" t="str">
        <f>VLOOKUP(MID(A42,12,2),Master_Data!$G$8:$I$10,3)&amp;" hari"</f>
        <v>2 hari</v>
      </c>
    </row>
    <row r="43" spans="1:17" x14ac:dyDescent="0.25">
      <c r="A43" s="18" t="s">
        <v>112</v>
      </c>
      <c r="B43" s="19">
        <v>45778</v>
      </c>
      <c r="C43" s="18" t="s">
        <v>19</v>
      </c>
      <c r="D43" s="3" t="str">
        <f>VLOOKUP(MID(A43,5,6),Master_Data!$C$8:$D$13,2,0)</f>
        <v>LAPTOP</v>
      </c>
      <c r="E43" s="3" t="str">
        <f>INDEX(Master_Data!$B$8:$B$13,MATCH(MID(A43,5,6),Master_Data!$C$8:$C$13,0))</f>
        <v>Acer Aspire 5</v>
      </c>
      <c r="F43" s="20">
        <v>4</v>
      </c>
      <c r="G43" s="28">
        <f>VLOOKUP(E43,Master_Data!$B$8:$E$13,4,0)</f>
        <v>9000000</v>
      </c>
      <c r="H43" s="29">
        <f t="shared" si="0"/>
        <v>36000000</v>
      </c>
      <c r="I43" s="15">
        <f t="shared" si="1"/>
        <v>0.08</v>
      </c>
      <c r="J43" s="28">
        <f t="shared" si="2"/>
        <v>33120000</v>
      </c>
      <c r="K43" s="29">
        <f t="shared" si="3"/>
        <v>3643200</v>
      </c>
      <c r="L43" s="29">
        <f t="shared" si="4"/>
        <v>36763200</v>
      </c>
      <c r="M43" s="3" t="str">
        <f t="shared" si="5"/>
        <v>COD/Cash</v>
      </c>
      <c r="N43" s="21" t="s">
        <v>74</v>
      </c>
      <c r="O43" s="3" t="str">
        <f t="shared" si="6"/>
        <v>Jawa Timur</v>
      </c>
      <c r="P43" s="3" t="str">
        <f>VLOOKUP(MID(A43,12,2),Master_Data!$G$8:$I$10,2)</f>
        <v>SiCepat</v>
      </c>
      <c r="Q43" s="2" t="str">
        <f>VLOOKUP(MID(A43,12,2),Master_Data!$G$8:$I$10,3)&amp;" hari"</f>
        <v>2 hari</v>
      </c>
    </row>
    <row r="44" spans="1:17" x14ac:dyDescent="0.25">
      <c r="A44" s="18" t="s">
        <v>106</v>
      </c>
      <c r="B44" s="19">
        <v>45779</v>
      </c>
      <c r="C44" s="18" t="s">
        <v>18</v>
      </c>
      <c r="D44" s="3" t="str">
        <f>VLOOKUP(MID(A44,5,6),Master_Data!$C$8:$D$13,2,0)</f>
        <v>LAPTOP</v>
      </c>
      <c r="E44" s="3" t="str">
        <f>INDEX(Master_Data!$B$8:$B$13,MATCH(MID(A44,5,6),Master_Data!$C$8:$C$13,0))</f>
        <v>Lenovo Idepad</v>
      </c>
      <c r="F44" s="20">
        <v>2</v>
      </c>
      <c r="G44" s="28">
        <f>VLOOKUP(E44,Master_Data!$B$8:$E$13,4,0)</f>
        <v>8500000</v>
      </c>
      <c r="H44" s="29">
        <f t="shared" si="0"/>
        <v>17000000</v>
      </c>
      <c r="I44" s="15">
        <f t="shared" si="1"/>
        <v>0</v>
      </c>
      <c r="J44" s="28">
        <f t="shared" si="2"/>
        <v>17000000</v>
      </c>
      <c r="K44" s="29">
        <f t="shared" si="3"/>
        <v>1870000</v>
      </c>
      <c r="L44" s="29">
        <f t="shared" si="4"/>
        <v>18870000</v>
      </c>
      <c r="M44" s="3" t="str">
        <f t="shared" si="5"/>
        <v>COD/Cash</v>
      </c>
      <c r="N44" s="21" t="s">
        <v>75</v>
      </c>
      <c r="O44" s="3" t="str">
        <f t="shared" si="6"/>
        <v>Jawa Barat</v>
      </c>
      <c r="P44" s="3" t="str">
        <f>VLOOKUP(MID(A44,12,2),Master_Data!$G$8:$I$10,2)</f>
        <v>Kurir J&amp;T</v>
      </c>
      <c r="Q44" s="2" t="str">
        <f>VLOOKUP(MID(A44,12,2),Master_Data!$G$8:$I$10,3)&amp;" hari"</f>
        <v>3 hari</v>
      </c>
    </row>
    <row r="45" spans="1:17" x14ac:dyDescent="0.25">
      <c r="A45" s="18" t="s">
        <v>110</v>
      </c>
      <c r="B45" s="19">
        <v>45780</v>
      </c>
      <c r="C45" s="18" t="s">
        <v>20</v>
      </c>
      <c r="D45" s="3" t="str">
        <f>VLOOKUP(MID(A45,5,6),Master_Data!$C$8:$D$13,2,0)</f>
        <v>SMARTPHONE</v>
      </c>
      <c r="E45" s="3" t="str">
        <f>INDEX(Master_Data!$B$8:$B$13,MATCH(MID(A45,5,6),Master_Data!$C$8:$C$13,0))</f>
        <v>Samsung A15</v>
      </c>
      <c r="F45" s="20">
        <v>1</v>
      </c>
      <c r="G45" s="28">
        <f>VLOOKUP(E45,Master_Data!$B$8:$E$13,4,0)</f>
        <v>2200000</v>
      </c>
      <c r="H45" s="29">
        <f t="shared" si="0"/>
        <v>2200000</v>
      </c>
      <c r="I45" s="15">
        <f t="shared" si="1"/>
        <v>0</v>
      </c>
      <c r="J45" s="28">
        <f t="shared" si="2"/>
        <v>2200000</v>
      </c>
      <c r="K45" s="29">
        <f t="shared" si="3"/>
        <v>242000</v>
      </c>
      <c r="L45" s="29">
        <f t="shared" si="4"/>
        <v>2442000</v>
      </c>
      <c r="M45" s="3" t="str">
        <f t="shared" si="5"/>
        <v>COD/Cash</v>
      </c>
      <c r="N45" s="21" t="s">
        <v>76</v>
      </c>
      <c r="O45" s="3" t="str">
        <f t="shared" si="6"/>
        <v>DKI Jakarta</v>
      </c>
      <c r="P45" s="3" t="str">
        <f>VLOOKUP(MID(A45,12,2),Master_Data!$G$8:$I$10,2)</f>
        <v>Kurir J&amp;T</v>
      </c>
      <c r="Q45" s="2" t="str">
        <f>VLOOKUP(MID(A45,12,2),Master_Data!$G$8:$I$10,3)&amp;" hari"</f>
        <v>3 hari</v>
      </c>
    </row>
    <row r="46" spans="1:17" x14ac:dyDescent="0.25">
      <c r="A46" s="18" t="s">
        <v>124</v>
      </c>
      <c r="B46" s="19">
        <v>45781</v>
      </c>
      <c r="C46" s="18" t="s">
        <v>14</v>
      </c>
      <c r="D46" s="3" t="str">
        <f>VLOOKUP(MID(A46,5,6),Master_Data!$C$8:$D$13,2,0)</f>
        <v>LAPTOP</v>
      </c>
      <c r="E46" s="3" t="str">
        <f>INDEX(Master_Data!$B$8:$B$13,MATCH(MID(A46,5,6),Master_Data!$C$8:$C$13,0))</f>
        <v>Acer Aspire 5</v>
      </c>
      <c r="F46" s="20">
        <v>1</v>
      </c>
      <c r="G46" s="28">
        <f>VLOOKUP(E46,Master_Data!$B$8:$E$13,4,0)</f>
        <v>9000000</v>
      </c>
      <c r="H46" s="29">
        <f t="shared" si="0"/>
        <v>9000000</v>
      </c>
      <c r="I46" s="15">
        <f t="shared" si="1"/>
        <v>0.08</v>
      </c>
      <c r="J46" s="28">
        <f t="shared" si="2"/>
        <v>8280000</v>
      </c>
      <c r="K46" s="29">
        <f t="shared" si="3"/>
        <v>910800</v>
      </c>
      <c r="L46" s="29">
        <f t="shared" si="4"/>
        <v>9190800</v>
      </c>
      <c r="M46" s="3" t="str">
        <f t="shared" si="5"/>
        <v>Dana/Non-COD</v>
      </c>
      <c r="N46" s="21" t="s">
        <v>77</v>
      </c>
      <c r="O46" s="3" t="str">
        <f t="shared" si="6"/>
        <v>Jawa Barat</v>
      </c>
      <c r="P46" s="3" t="str">
        <f>VLOOKUP(MID(A46,12,2),Master_Data!$G$8:$I$10,2)</f>
        <v>Kurir J&amp;T</v>
      </c>
      <c r="Q46" s="2" t="str">
        <f>VLOOKUP(MID(A46,12,2),Master_Data!$G$8:$I$10,3)&amp;" hari"</f>
        <v>3 hari</v>
      </c>
    </row>
    <row r="47" spans="1:17" x14ac:dyDescent="0.25">
      <c r="A47" s="18" t="s">
        <v>125</v>
      </c>
      <c r="B47" s="19">
        <v>45782</v>
      </c>
      <c r="C47" s="18" t="s">
        <v>15</v>
      </c>
      <c r="D47" s="3" t="str">
        <f>VLOOKUP(MID(A47,5,6),Master_Data!$C$8:$D$13,2,0)</f>
        <v>SMARTPHONE</v>
      </c>
      <c r="E47" s="3" t="str">
        <f>INDEX(Master_Data!$B$8:$B$13,MATCH(MID(A47,5,6),Master_Data!$C$8:$C$13,0))</f>
        <v>Iphone 16 128GB</v>
      </c>
      <c r="F47" s="20">
        <v>1</v>
      </c>
      <c r="G47" s="28">
        <f>VLOOKUP(E47,Master_Data!$B$8:$E$13,4,0)</f>
        <v>14999000</v>
      </c>
      <c r="H47" s="29">
        <f t="shared" si="0"/>
        <v>14999000</v>
      </c>
      <c r="I47" s="15">
        <f t="shared" si="1"/>
        <v>0.06</v>
      </c>
      <c r="J47" s="28">
        <f t="shared" si="2"/>
        <v>14099060</v>
      </c>
      <c r="K47" s="29">
        <f t="shared" si="3"/>
        <v>1550896.6</v>
      </c>
      <c r="L47" s="29">
        <f t="shared" si="4"/>
        <v>15649956.6</v>
      </c>
      <c r="M47" s="3" t="str">
        <f t="shared" si="5"/>
        <v>GoPay/Non-COD</v>
      </c>
      <c r="N47" s="21" t="s">
        <v>78</v>
      </c>
      <c r="O47" s="3" t="str">
        <f t="shared" si="6"/>
        <v>Jawa Barat</v>
      </c>
      <c r="P47" s="3" t="str">
        <f>VLOOKUP(MID(A47,12,2),Master_Data!$G$8:$I$10,2)</f>
        <v>Kurir J&amp;T</v>
      </c>
      <c r="Q47" s="2" t="str">
        <f>VLOOKUP(MID(A47,12,2),Master_Data!$G$8:$I$10,3)&amp;" hari"</f>
        <v>3 hari</v>
      </c>
    </row>
    <row r="48" spans="1:17" x14ac:dyDescent="0.25">
      <c r="A48" s="18" t="s">
        <v>126</v>
      </c>
      <c r="B48" s="19">
        <v>45782</v>
      </c>
      <c r="C48" s="18" t="s">
        <v>16</v>
      </c>
      <c r="D48" s="3" t="str">
        <f>VLOOKUP(MID(A48,5,6),Master_Data!$C$8:$D$13,2,0)</f>
        <v>SMARTPHONE</v>
      </c>
      <c r="E48" s="3" t="str">
        <f>INDEX(Master_Data!$B$8:$B$13,MATCH(MID(A48,5,6),Master_Data!$C$8:$C$13,0))</f>
        <v>Iphone 16 128GB</v>
      </c>
      <c r="F48" s="20">
        <v>3</v>
      </c>
      <c r="G48" s="28">
        <f>VLOOKUP(E48,Master_Data!$B$8:$E$13,4,0)</f>
        <v>14999000</v>
      </c>
      <c r="H48" s="29">
        <f t="shared" si="0"/>
        <v>44997000</v>
      </c>
      <c r="I48" s="15">
        <f t="shared" si="1"/>
        <v>0.06</v>
      </c>
      <c r="J48" s="28">
        <f t="shared" si="2"/>
        <v>42297180</v>
      </c>
      <c r="K48" s="29">
        <f t="shared" si="3"/>
        <v>4652689.8</v>
      </c>
      <c r="L48" s="29">
        <f t="shared" si="4"/>
        <v>46949869.799999997</v>
      </c>
      <c r="M48" s="3" t="str">
        <f t="shared" si="5"/>
        <v>COD/Cash</v>
      </c>
      <c r="N48" s="21" t="s">
        <v>79</v>
      </c>
      <c r="O48" s="3" t="str">
        <f t="shared" si="6"/>
        <v>DKI Jakarta</v>
      </c>
      <c r="P48" s="3" t="str">
        <f>VLOOKUP(MID(A48,12,2),Master_Data!$G$8:$I$10,2)</f>
        <v>Kurir J&amp;T</v>
      </c>
      <c r="Q48" s="2" t="str">
        <f>VLOOKUP(MID(A48,12,2),Master_Data!$G$8:$I$10,3)&amp;" hari"</f>
        <v>3 hari</v>
      </c>
    </row>
    <row r="49" spans="1:17" x14ac:dyDescent="0.25">
      <c r="A49" s="18" t="s">
        <v>127</v>
      </c>
      <c r="B49" s="19">
        <v>45783</v>
      </c>
      <c r="C49" s="18" t="s">
        <v>19</v>
      </c>
      <c r="D49" s="3" t="str">
        <f>VLOOKUP(MID(A49,5,6),Master_Data!$C$8:$D$13,2,0)</f>
        <v>AKSESORIS</v>
      </c>
      <c r="E49" s="3" t="str">
        <f>INDEX(Master_Data!$B$8:$B$13,MATCH(MID(A49,5,6),Master_Data!$C$8:$C$13,0))</f>
        <v>Logitech Mouse</v>
      </c>
      <c r="F49" s="20">
        <v>2</v>
      </c>
      <c r="G49" s="28">
        <f>VLOOKUP(E49,Master_Data!$B$8:$E$13,4,0)</f>
        <v>150000</v>
      </c>
      <c r="H49" s="29">
        <f t="shared" si="0"/>
        <v>300000</v>
      </c>
      <c r="I49" s="15">
        <f t="shared" si="1"/>
        <v>0</v>
      </c>
      <c r="J49" s="28">
        <f t="shared" si="2"/>
        <v>300000</v>
      </c>
      <c r="K49" s="29">
        <f t="shared" si="3"/>
        <v>33000</v>
      </c>
      <c r="L49" s="29">
        <f t="shared" si="4"/>
        <v>333000</v>
      </c>
      <c r="M49" s="3" t="str">
        <f t="shared" si="5"/>
        <v>COD/Cash</v>
      </c>
      <c r="N49" s="21" t="s">
        <v>80</v>
      </c>
      <c r="O49" s="3" t="str">
        <f t="shared" si="6"/>
        <v>Jawa Timur</v>
      </c>
      <c r="P49" s="3" t="str">
        <f>VLOOKUP(MID(A49,12,2),Master_Data!$G$8:$I$10,2)</f>
        <v>SiCepat</v>
      </c>
      <c r="Q49" s="2" t="str">
        <f>VLOOKUP(MID(A49,12,2),Master_Data!$G$8:$I$10,3)&amp;" hari"</f>
        <v>2 hari</v>
      </c>
    </row>
    <row r="50" spans="1:17" x14ac:dyDescent="0.25">
      <c r="A50" s="18" t="s">
        <v>128</v>
      </c>
      <c r="B50" s="19">
        <v>45785</v>
      </c>
      <c r="C50" s="18" t="s">
        <v>17</v>
      </c>
      <c r="D50" s="3" t="str">
        <f>VLOOKUP(MID(A50,5,6),Master_Data!$C$8:$D$13,2,0)</f>
        <v>SMARTPHONE</v>
      </c>
      <c r="E50" s="3" t="str">
        <f>INDEX(Master_Data!$B$8:$B$13,MATCH(MID(A50,5,6),Master_Data!$C$8:$C$13,0))</f>
        <v>Samsung A15</v>
      </c>
      <c r="F50" s="20">
        <v>4</v>
      </c>
      <c r="G50" s="28">
        <f>VLOOKUP(E50,Master_Data!$B$8:$E$13,4,0)</f>
        <v>2200000</v>
      </c>
      <c r="H50" s="29">
        <f t="shared" si="0"/>
        <v>8800000</v>
      </c>
      <c r="I50" s="15">
        <f t="shared" si="1"/>
        <v>0</v>
      </c>
      <c r="J50" s="28">
        <f t="shared" si="2"/>
        <v>8800000</v>
      </c>
      <c r="K50" s="29">
        <f t="shared" si="3"/>
        <v>968000</v>
      </c>
      <c r="L50" s="29">
        <f t="shared" si="4"/>
        <v>9768000</v>
      </c>
      <c r="M50" s="3" t="str">
        <f t="shared" si="5"/>
        <v>Dana/Non-COD</v>
      </c>
      <c r="N50" s="21" t="s">
        <v>81</v>
      </c>
      <c r="O50" s="3" t="str">
        <f t="shared" si="6"/>
        <v>Jawa Tengah</v>
      </c>
      <c r="P50" s="3" t="str">
        <f>VLOOKUP(MID(A50,12,2),Master_Data!$G$8:$I$10,2)</f>
        <v>SiCepat</v>
      </c>
      <c r="Q50" s="2" t="str">
        <f>VLOOKUP(MID(A50,12,2),Master_Data!$G$8:$I$10,3)&amp;" hari"</f>
        <v>2 hari</v>
      </c>
    </row>
    <row r="51" spans="1:17" x14ac:dyDescent="0.25">
      <c r="A51" s="18" t="s">
        <v>129</v>
      </c>
      <c r="B51" s="19">
        <v>45787</v>
      </c>
      <c r="C51" s="18" t="s">
        <v>14</v>
      </c>
      <c r="D51" s="3" t="str">
        <f>VLOOKUP(MID(A51,5,6),Master_Data!$C$8:$D$13,2,0)</f>
        <v>AKSESORIS</v>
      </c>
      <c r="E51" s="3" t="str">
        <f>INDEX(Master_Data!$B$8:$B$13,MATCH(MID(A51,5,6),Master_Data!$C$8:$C$13,0))</f>
        <v>Logitech Mouse</v>
      </c>
      <c r="F51" s="20">
        <v>5</v>
      </c>
      <c r="G51" s="28">
        <f>VLOOKUP(E51,Master_Data!$B$8:$E$13,4,0)</f>
        <v>150000</v>
      </c>
      <c r="H51" s="29">
        <f t="shared" si="0"/>
        <v>750000</v>
      </c>
      <c r="I51" s="15">
        <f t="shared" si="1"/>
        <v>0</v>
      </c>
      <c r="J51" s="28">
        <f t="shared" si="2"/>
        <v>750000</v>
      </c>
      <c r="K51" s="29">
        <f t="shared" si="3"/>
        <v>82500</v>
      </c>
      <c r="L51" s="29">
        <f t="shared" si="4"/>
        <v>832500</v>
      </c>
      <c r="M51" s="3" t="str">
        <f t="shared" si="5"/>
        <v>GoPay/Non-COD</v>
      </c>
      <c r="N51" s="21" t="s">
        <v>82</v>
      </c>
      <c r="O51" s="3" t="str">
        <f t="shared" si="6"/>
        <v>Jawa Barat</v>
      </c>
      <c r="P51" s="3" t="str">
        <f>VLOOKUP(MID(A51,12,2),Master_Data!$G$8:$I$10,2)</f>
        <v>Kurir J&amp;T</v>
      </c>
      <c r="Q51" s="2" t="str">
        <f>VLOOKUP(MID(A51,12,2),Master_Data!$G$8:$I$10,3)&amp;" hari"</f>
        <v>3 hari</v>
      </c>
    </row>
    <row r="52" spans="1:17" x14ac:dyDescent="0.25">
      <c r="A52" s="18" t="s">
        <v>130</v>
      </c>
      <c r="B52" s="19">
        <v>45792</v>
      </c>
      <c r="C52" s="18" t="s">
        <v>20</v>
      </c>
      <c r="D52" s="3" t="str">
        <f>VLOOKUP(MID(A52,5,6),Master_Data!$C$8:$D$13,2,0)</f>
        <v>LAPTOP</v>
      </c>
      <c r="E52" s="3" t="str">
        <f>INDEX(Master_Data!$B$8:$B$13,MATCH(MID(A52,5,6),Master_Data!$C$8:$C$13,0))</f>
        <v>Acer Aspire 5</v>
      </c>
      <c r="F52" s="20">
        <v>6</v>
      </c>
      <c r="G52" s="28">
        <f>VLOOKUP(E52,Master_Data!$B$8:$E$13,4,0)</f>
        <v>9000000</v>
      </c>
      <c r="H52" s="29">
        <f t="shared" si="0"/>
        <v>54000000</v>
      </c>
      <c r="I52" s="15">
        <f t="shared" si="1"/>
        <v>0.08</v>
      </c>
      <c r="J52" s="28">
        <f t="shared" si="2"/>
        <v>49680000</v>
      </c>
      <c r="K52" s="29">
        <f t="shared" si="3"/>
        <v>5464800</v>
      </c>
      <c r="L52" s="29">
        <f t="shared" si="4"/>
        <v>55144800</v>
      </c>
      <c r="M52" s="3" t="str">
        <f t="shared" si="5"/>
        <v>GoPay/Non-COD</v>
      </c>
      <c r="N52" s="21" t="s">
        <v>83</v>
      </c>
      <c r="O52" s="3" t="str">
        <f t="shared" si="6"/>
        <v>DKI Jakarta</v>
      </c>
      <c r="P52" s="3" t="str">
        <f>VLOOKUP(MID(A52,12,2),Master_Data!$G$8:$I$10,2)</f>
        <v>Kurir J&amp;T</v>
      </c>
      <c r="Q52" s="2" t="str">
        <f>VLOOKUP(MID(A52,12,2),Master_Data!$G$8:$I$10,3)&amp;" hari"</f>
        <v>3 hari</v>
      </c>
    </row>
    <row r="53" spans="1:17" x14ac:dyDescent="0.25">
      <c r="A53" s="18" t="s">
        <v>112</v>
      </c>
      <c r="B53" s="19">
        <v>45795</v>
      </c>
      <c r="C53" s="18" t="s">
        <v>14</v>
      </c>
      <c r="D53" s="3" t="str">
        <f>VLOOKUP(MID(A53,5,6),Master_Data!$C$8:$D$13,2,0)</f>
        <v>LAPTOP</v>
      </c>
      <c r="E53" s="3" t="str">
        <f>INDEX(Master_Data!$B$8:$B$13,MATCH(MID(A53,5,6),Master_Data!$C$8:$C$13,0))</f>
        <v>Acer Aspire 5</v>
      </c>
      <c r="F53" s="20">
        <v>5</v>
      </c>
      <c r="G53" s="28">
        <f>VLOOKUP(E53,Master_Data!$B$8:$E$13,4,0)</f>
        <v>9000000</v>
      </c>
      <c r="H53" s="29">
        <f t="shared" si="0"/>
        <v>45000000</v>
      </c>
      <c r="I53" s="15">
        <f t="shared" si="1"/>
        <v>0.08</v>
      </c>
      <c r="J53" s="28">
        <f t="shared" si="2"/>
        <v>41400000</v>
      </c>
      <c r="K53" s="29">
        <f t="shared" si="3"/>
        <v>4554000</v>
      </c>
      <c r="L53" s="29">
        <f t="shared" si="4"/>
        <v>45954000</v>
      </c>
      <c r="M53" s="3" t="str">
        <f t="shared" si="5"/>
        <v>COD/Cash</v>
      </c>
      <c r="N53" s="21" t="s">
        <v>84</v>
      </c>
      <c r="O53" s="3" t="str">
        <f t="shared" si="6"/>
        <v>Jawa Timur</v>
      </c>
      <c r="P53" s="3" t="str">
        <f>VLOOKUP(MID(A53,12,2),Master_Data!$G$8:$I$10,2)</f>
        <v>SiCepat</v>
      </c>
      <c r="Q53" s="2" t="str">
        <f>VLOOKUP(MID(A53,12,2),Master_Data!$G$8:$I$10,3)&amp;" hari"</f>
        <v>2 hari</v>
      </c>
    </row>
    <row r="54" spans="1:17" x14ac:dyDescent="0.25">
      <c r="A54" s="18" t="s">
        <v>113</v>
      </c>
      <c r="B54" s="19">
        <v>45797</v>
      </c>
      <c r="C54" s="18" t="s">
        <v>19</v>
      </c>
      <c r="D54" s="3" t="str">
        <f>VLOOKUP(MID(A54,5,6),Master_Data!$C$8:$D$13,2,0)</f>
        <v>SMARTPHONE</v>
      </c>
      <c r="E54" s="3" t="str">
        <f>INDEX(Master_Data!$B$8:$B$13,MATCH(MID(A54,5,6),Master_Data!$C$8:$C$13,0))</f>
        <v>Samsung A15</v>
      </c>
      <c r="F54" s="20">
        <v>3</v>
      </c>
      <c r="G54" s="28">
        <f>VLOOKUP(E54,Master_Data!$B$8:$E$13,4,0)</f>
        <v>2200000</v>
      </c>
      <c r="H54" s="29">
        <f t="shared" si="0"/>
        <v>6600000</v>
      </c>
      <c r="I54" s="15">
        <f t="shared" si="1"/>
        <v>0</v>
      </c>
      <c r="J54" s="28">
        <f t="shared" si="2"/>
        <v>6600000</v>
      </c>
      <c r="K54" s="29">
        <f t="shared" si="3"/>
        <v>726000</v>
      </c>
      <c r="L54" s="29">
        <f t="shared" si="4"/>
        <v>7326000</v>
      </c>
      <c r="M54" s="3" t="str">
        <f t="shared" si="5"/>
        <v>Dana/Non-COD</v>
      </c>
      <c r="N54" s="21" t="s">
        <v>85</v>
      </c>
      <c r="O54" s="3" t="str">
        <f t="shared" si="6"/>
        <v>Jawa Tengah</v>
      </c>
      <c r="P54" s="3" t="str">
        <f>VLOOKUP(MID(A54,12,2),Master_Data!$G$8:$I$10,2)</f>
        <v>Kurir J&amp;T</v>
      </c>
      <c r="Q54" s="2" t="str">
        <f>VLOOKUP(MID(A54,12,2),Master_Data!$G$8:$I$10,3)&amp;" hari"</f>
        <v>3 hari</v>
      </c>
    </row>
    <row r="55" spans="1:17" x14ac:dyDescent="0.25">
      <c r="A55" s="18" t="s">
        <v>114</v>
      </c>
      <c r="B55" s="19">
        <v>45798</v>
      </c>
      <c r="C55" s="18" t="s">
        <v>15</v>
      </c>
      <c r="D55" s="3" t="str">
        <f>VLOOKUP(MID(A55,5,6),Master_Data!$C$8:$D$13,2,0)</f>
        <v>LAPTOP</v>
      </c>
      <c r="E55" s="3" t="str">
        <f>INDEX(Master_Data!$B$8:$B$13,MATCH(MID(A55,5,6),Master_Data!$C$8:$C$13,0))</f>
        <v>Lenovo Idepad</v>
      </c>
      <c r="F55" s="20">
        <v>2</v>
      </c>
      <c r="G55" s="28">
        <f>VLOOKUP(E55,Master_Data!$B$8:$E$13,4,0)</f>
        <v>8500000</v>
      </c>
      <c r="H55" s="29">
        <f t="shared" si="0"/>
        <v>17000000</v>
      </c>
      <c r="I55" s="15">
        <f t="shared" si="1"/>
        <v>0</v>
      </c>
      <c r="J55" s="28">
        <f t="shared" si="2"/>
        <v>17000000</v>
      </c>
      <c r="K55" s="29">
        <f t="shared" si="3"/>
        <v>1870000</v>
      </c>
      <c r="L55" s="29">
        <f t="shared" si="4"/>
        <v>18870000</v>
      </c>
      <c r="M55" s="3" t="str">
        <f t="shared" si="5"/>
        <v>Dana/Non-COD</v>
      </c>
      <c r="N55" s="21" t="s">
        <v>86</v>
      </c>
      <c r="O55" s="3" t="str">
        <f t="shared" si="6"/>
        <v>Jawa Tengah</v>
      </c>
      <c r="P55" s="3" t="str">
        <f>VLOOKUP(MID(A55,12,2),Master_Data!$G$8:$I$10,2)</f>
        <v>SiCepat</v>
      </c>
      <c r="Q55" s="2" t="str">
        <f>VLOOKUP(MID(A55,12,2),Master_Data!$G$8:$I$10,3)&amp;" hari"</f>
        <v>2 hari</v>
      </c>
    </row>
    <row r="56" spans="1:17" x14ac:dyDescent="0.25">
      <c r="A56" s="18" t="s">
        <v>115</v>
      </c>
      <c r="B56" s="19">
        <v>45799</v>
      </c>
      <c r="C56" s="18" t="s">
        <v>18</v>
      </c>
      <c r="D56" s="3" t="str">
        <f>VLOOKUP(MID(A56,5,6),Master_Data!$C$8:$D$13,2,0)</f>
        <v>LAPTOP</v>
      </c>
      <c r="E56" s="3" t="str">
        <f>INDEX(Master_Data!$B$8:$B$13,MATCH(MID(A56,5,6),Master_Data!$C$8:$C$13,0))</f>
        <v>Lenovo Idepad</v>
      </c>
      <c r="F56" s="20">
        <v>1</v>
      </c>
      <c r="G56" s="28">
        <f>VLOOKUP(E56,Master_Data!$B$8:$E$13,4,0)</f>
        <v>8500000</v>
      </c>
      <c r="H56" s="29">
        <f t="shared" si="0"/>
        <v>8500000</v>
      </c>
      <c r="I56" s="15">
        <f t="shared" si="1"/>
        <v>0</v>
      </c>
      <c r="J56" s="28">
        <f t="shared" si="2"/>
        <v>8500000</v>
      </c>
      <c r="K56" s="29">
        <f t="shared" si="3"/>
        <v>935000</v>
      </c>
      <c r="L56" s="29">
        <f t="shared" si="4"/>
        <v>9435000</v>
      </c>
      <c r="M56" s="3" t="str">
        <f t="shared" si="5"/>
        <v>GoPay/Non-COD</v>
      </c>
      <c r="N56" s="21" t="s">
        <v>87</v>
      </c>
      <c r="O56" s="3" t="str">
        <f t="shared" si="6"/>
        <v>DKI Jakarta</v>
      </c>
      <c r="P56" s="3" t="str">
        <f>VLOOKUP(MID(A56,12,2),Master_Data!$G$8:$I$10,2)</f>
        <v>SiCepat</v>
      </c>
      <c r="Q56" s="2" t="str">
        <f>VLOOKUP(MID(A56,12,2),Master_Data!$G$8:$I$10,3)&amp;" hari"</f>
        <v>2 hari</v>
      </c>
    </row>
    <row r="57" spans="1:17" x14ac:dyDescent="0.25">
      <c r="A57" s="18" t="s">
        <v>116</v>
      </c>
      <c r="B57" s="19">
        <v>45800</v>
      </c>
      <c r="C57" s="18" t="s">
        <v>16</v>
      </c>
      <c r="D57" s="3" t="str">
        <f>VLOOKUP(MID(A57,5,6),Master_Data!$C$8:$D$13,2,0)</f>
        <v>AKSESORIS</v>
      </c>
      <c r="E57" s="3" t="str">
        <f>INDEX(Master_Data!$B$8:$B$13,MATCH(MID(A57,5,6),Master_Data!$C$8:$C$13,0))</f>
        <v>AirPods Gen-2</v>
      </c>
      <c r="F57" s="20">
        <v>5</v>
      </c>
      <c r="G57" s="28">
        <f>VLOOKUP(E57,Master_Data!$B$8:$E$13,4,0)</f>
        <v>1899000</v>
      </c>
      <c r="H57" s="29">
        <f t="shared" si="0"/>
        <v>9495000</v>
      </c>
      <c r="I57" s="15">
        <f t="shared" si="1"/>
        <v>0.03</v>
      </c>
      <c r="J57" s="28">
        <f t="shared" si="2"/>
        <v>9210150</v>
      </c>
      <c r="K57" s="29">
        <f t="shared" si="3"/>
        <v>1013116.5</v>
      </c>
      <c r="L57" s="29">
        <f t="shared" si="4"/>
        <v>10223266.5</v>
      </c>
      <c r="M57" s="3" t="str">
        <f t="shared" si="5"/>
        <v>COD/Cash</v>
      </c>
      <c r="N57" s="21" t="s">
        <v>88</v>
      </c>
      <c r="O57" s="3" t="str">
        <f t="shared" si="6"/>
        <v>Jawa Barat</v>
      </c>
      <c r="P57" s="3" t="str">
        <f>VLOOKUP(MID(A57,12,2),Master_Data!$G$8:$I$10,2)</f>
        <v>Kurir J&amp;T</v>
      </c>
      <c r="Q57" s="2" t="str">
        <f>VLOOKUP(MID(A57,12,2),Master_Data!$G$8:$I$10,3)&amp;" hari"</f>
        <v>3 hari</v>
      </c>
    </row>
    <row r="58" spans="1:17" x14ac:dyDescent="0.25">
      <c r="A58" s="18" t="s">
        <v>117</v>
      </c>
      <c r="B58" s="19">
        <v>45803</v>
      </c>
      <c r="C58" s="18" t="s">
        <v>16</v>
      </c>
      <c r="D58" s="3" t="str">
        <f>VLOOKUP(MID(A58,5,6),Master_Data!$C$8:$D$13,2,0)</f>
        <v>SMARTPHONE</v>
      </c>
      <c r="E58" s="3" t="str">
        <f>INDEX(Master_Data!$B$8:$B$13,MATCH(MID(A58,5,6),Master_Data!$C$8:$C$13,0))</f>
        <v>Samsung A15</v>
      </c>
      <c r="F58" s="20">
        <v>5</v>
      </c>
      <c r="G58" s="28">
        <f>VLOOKUP(E58,Master_Data!$B$8:$E$13,4,0)</f>
        <v>2200000</v>
      </c>
      <c r="H58" s="29">
        <f t="shared" si="0"/>
        <v>11000000</v>
      </c>
      <c r="I58" s="15">
        <f t="shared" si="1"/>
        <v>0</v>
      </c>
      <c r="J58" s="28">
        <f t="shared" si="2"/>
        <v>11000000</v>
      </c>
      <c r="K58" s="29">
        <f t="shared" si="3"/>
        <v>1210000</v>
      </c>
      <c r="L58" s="29">
        <f t="shared" si="4"/>
        <v>12210000</v>
      </c>
      <c r="M58" s="3" t="str">
        <f t="shared" si="5"/>
        <v>Dana/Non-COD</v>
      </c>
      <c r="N58" s="21" t="s">
        <v>89</v>
      </c>
      <c r="O58" s="3" t="str">
        <f t="shared" si="6"/>
        <v>Jawa Barat</v>
      </c>
      <c r="P58" s="3" t="str">
        <f>VLOOKUP(MID(A58,12,2),Master_Data!$G$8:$I$10,2)</f>
        <v>SiCepat</v>
      </c>
      <c r="Q58" s="2" t="str">
        <f>VLOOKUP(MID(A58,12,2),Master_Data!$G$8:$I$10,3)&amp;" hari"</f>
        <v>2 hari</v>
      </c>
    </row>
    <row r="59" spans="1:17" x14ac:dyDescent="0.25">
      <c r="A59" s="18" t="s">
        <v>118</v>
      </c>
      <c r="B59" s="19">
        <v>45804</v>
      </c>
      <c r="C59" s="18" t="s">
        <v>14</v>
      </c>
      <c r="D59" s="3" t="str">
        <f>VLOOKUP(MID(A59,5,6),Master_Data!$C$8:$D$13,2,0)</f>
        <v>SMARTPHONE</v>
      </c>
      <c r="E59" s="3" t="str">
        <f>INDEX(Master_Data!$B$8:$B$13,MATCH(MID(A59,5,6),Master_Data!$C$8:$C$13,0))</f>
        <v>Iphone 16 128GB</v>
      </c>
      <c r="F59" s="20">
        <v>5</v>
      </c>
      <c r="G59" s="28">
        <f>VLOOKUP(E59,Master_Data!$B$8:$E$13,4,0)</f>
        <v>14999000</v>
      </c>
      <c r="H59" s="29">
        <f t="shared" si="0"/>
        <v>74995000</v>
      </c>
      <c r="I59" s="15">
        <f t="shared" si="1"/>
        <v>0.06</v>
      </c>
      <c r="J59" s="28">
        <f t="shared" si="2"/>
        <v>70495300</v>
      </c>
      <c r="K59" s="29">
        <f t="shared" si="3"/>
        <v>7754483</v>
      </c>
      <c r="L59" s="29">
        <f t="shared" si="4"/>
        <v>78249783</v>
      </c>
      <c r="M59" s="3" t="str">
        <f t="shared" si="5"/>
        <v>COD/Cash</v>
      </c>
      <c r="N59" s="21" t="s">
        <v>90</v>
      </c>
      <c r="O59" s="3" t="str">
        <f t="shared" si="6"/>
        <v>Jawa Barat</v>
      </c>
      <c r="P59" s="3" t="str">
        <f>VLOOKUP(MID(A59,12,2),Master_Data!$G$8:$I$10,2)</f>
        <v>Kurir J&amp;T</v>
      </c>
      <c r="Q59" s="2" t="str">
        <f>VLOOKUP(MID(A59,12,2),Master_Data!$G$8:$I$10,3)&amp;" hari"</f>
        <v>3 hari</v>
      </c>
    </row>
    <row r="60" spans="1:17" x14ac:dyDescent="0.25">
      <c r="A60" s="18" t="s">
        <v>119</v>
      </c>
      <c r="B60" s="19">
        <v>45805</v>
      </c>
      <c r="C60" s="18" t="s">
        <v>17</v>
      </c>
      <c r="D60" s="3" t="str">
        <f>VLOOKUP(MID(A60,5,6),Master_Data!$C$8:$D$13,2,0)</f>
        <v>LAPTOP</v>
      </c>
      <c r="E60" s="3" t="str">
        <f>INDEX(Master_Data!$B$8:$B$13,MATCH(MID(A60,5,6),Master_Data!$C$8:$C$13,0))</f>
        <v>Acer Aspire 5</v>
      </c>
      <c r="F60" s="20">
        <v>1</v>
      </c>
      <c r="G60" s="28">
        <f>VLOOKUP(E60,Master_Data!$B$8:$E$13,4,0)</f>
        <v>9000000</v>
      </c>
      <c r="H60" s="29">
        <f t="shared" si="0"/>
        <v>9000000</v>
      </c>
      <c r="I60" s="15">
        <f t="shared" si="1"/>
        <v>0.08</v>
      </c>
      <c r="J60" s="28">
        <f t="shared" si="2"/>
        <v>8280000</v>
      </c>
      <c r="K60" s="29">
        <f t="shared" si="3"/>
        <v>910800</v>
      </c>
      <c r="L60" s="29">
        <f t="shared" si="4"/>
        <v>9190800</v>
      </c>
      <c r="M60" s="3" t="str">
        <f t="shared" si="5"/>
        <v>COD/Cash</v>
      </c>
      <c r="N60" s="21" t="s">
        <v>91</v>
      </c>
      <c r="O60" s="3" t="str">
        <f t="shared" si="6"/>
        <v>DKI Jakarta</v>
      </c>
      <c r="P60" s="3" t="str">
        <f>VLOOKUP(MID(A60,12,2),Master_Data!$G$8:$I$10,2)</f>
        <v>Kurir J&amp;T</v>
      </c>
      <c r="Q60" s="2" t="str">
        <f>VLOOKUP(MID(A60,12,2),Master_Data!$G$8:$I$10,3)&amp;" hari"</f>
        <v>3 hari</v>
      </c>
    </row>
    <row r="61" spans="1:17" x14ac:dyDescent="0.25">
      <c r="A61" s="18" t="s">
        <v>108</v>
      </c>
      <c r="B61" s="19">
        <v>45806</v>
      </c>
      <c r="C61" s="18" t="s">
        <v>18</v>
      </c>
      <c r="D61" s="3" t="str">
        <f>VLOOKUP(MID(A61,5,6),Master_Data!$C$8:$D$13,2,0)</f>
        <v>AKSESORIS</v>
      </c>
      <c r="E61" s="3" t="str">
        <f>INDEX(Master_Data!$B$8:$B$13,MATCH(MID(A61,5,6),Master_Data!$C$8:$C$13,0))</f>
        <v>Logitech Mouse</v>
      </c>
      <c r="F61" s="20">
        <v>2</v>
      </c>
      <c r="G61" s="28">
        <f>VLOOKUP(E61,Master_Data!$B$8:$E$13,4,0)</f>
        <v>150000</v>
      </c>
      <c r="H61" s="29">
        <f t="shared" si="0"/>
        <v>300000</v>
      </c>
      <c r="I61" s="15">
        <f t="shared" si="1"/>
        <v>0</v>
      </c>
      <c r="J61" s="28">
        <f t="shared" si="2"/>
        <v>300000</v>
      </c>
      <c r="K61" s="29">
        <f t="shared" si="3"/>
        <v>33000</v>
      </c>
      <c r="L61" s="29">
        <f t="shared" si="4"/>
        <v>333000</v>
      </c>
      <c r="M61" s="3" t="str">
        <f t="shared" si="5"/>
        <v>Dana/Non-COD</v>
      </c>
      <c r="N61" s="21" t="s">
        <v>92</v>
      </c>
      <c r="O61" s="3" t="str">
        <f t="shared" si="6"/>
        <v>Jawa Tengah</v>
      </c>
      <c r="P61" s="3" t="str">
        <f>VLOOKUP(MID(A61,12,2),Master_Data!$G$8:$I$10,2)</f>
        <v>SiCepat</v>
      </c>
      <c r="Q61" s="2" t="str">
        <f>VLOOKUP(MID(A61,12,2),Master_Data!$G$8:$I$10,3)&amp;" hari"</f>
        <v>2 hari</v>
      </c>
    </row>
    <row r="62" spans="1:17" x14ac:dyDescent="0.25">
      <c r="A62" s="18" t="s">
        <v>120</v>
      </c>
      <c r="B62" s="19">
        <v>45807</v>
      </c>
      <c r="C62" s="18" t="s">
        <v>15</v>
      </c>
      <c r="D62" s="3" t="str">
        <f>VLOOKUP(MID(A62,5,6),Master_Data!$C$8:$D$13,2,0)</f>
        <v>AKSESORIS</v>
      </c>
      <c r="E62" s="3" t="str">
        <f>INDEX(Master_Data!$B$8:$B$13,MATCH(MID(A62,5,6),Master_Data!$C$8:$C$13,0))</f>
        <v>AirPods Gen-2</v>
      </c>
      <c r="F62" s="20">
        <v>3</v>
      </c>
      <c r="G62" s="28">
        <f>VLOOKUP(E62,Master_Data!$B$8:$E$13,4,0)</f>
        <v>1899000</v>
      </c>
      <c r="H62" s="29">
        <f t="shared" si="0"/>
        <v>5697000</v>
      </c>
      <c r="I62" s="15">
        <f t="shared" si="1"/>
        <v>0.03</v>
      </c>
      <c r="J62" s="28">
        <f t="shared" si="2"/>
        <v>5526090</v>
      </c>
      <c r="K62" s="29">
        <f t="shared" si="3"/>
        <v>607869.9</v>
      </c>
      <c r="L62" s="29">
        <f t="shared" si="4"/>
        <v>6133959.9000000004</v>
      </c>
      <c r="M62" s="3" t="str">
        <f t="shared" si="5"/>
        <v>GoPay/Non-COD</v>
      </c>
      <c r="N62" s="21" t="s">
        <v>93</v>
      </c>
      <c r="O62" s="3" t="str">
        <f t="shared" si="6"/>
        <v>Jawa Tengah</v>
      </c>
      <c r="P62" s="3" t="str">
        <f>VLOOKUP(MID(A62,12,2),Master_Data!$G$8:$I$10,2)</f>
        <v>Kurir J&amp;T</v>
      </c>
      <c r="Q62" s="2" t="str">
        <f>VLOOKUP(MID(A62,12,2),Master_Data!$G$8:$I$10,3)&amp;" hari"</f>
        <v>3 hari</v>
      </c>
    </row>
    <row r="63" spans="1:17" x14ac:dyDescent="0.25">
      <c r="A63" s="18" t="s">
        <v>121</v>
      </c>
      <c r="B63" s="19">
        <v>45808</v>
      </c>
      <c r="C63" s="18" t="s">
        <v>15</v>
      </c>
      <c r="D63" s="3" t="str">
        <f>VLOOKUP(MID(A63,5,6),Master_Data!$C$8:$D$13,2,0)</f>
        <v>SMARTPHONE</v>
      </c>
      <c r="E63" s="3" t="str">
        <f>INDEX(Master_Data!$B$8:$B$13,MATCH(MID(A63,5,6),Master_Data!$C$8:$C$13,0))</f>
        <v>Iphone 16 128GB</v>
      </c>
      <c r="F63" s="20">
        <v>6</v>
      </c>
      <c r="G63" s="28">
        <f>VLOOKUP(E63,Master_Data!$B$8:$E$13,4,0)</f>
        <v>14999000</v>
      </c>
      <c r="H63" s="29">
        <f t="shared" si="0"/>
        <v>89994000</v>
      </c>
      <c r="I63" s="15">
        <f t="shared" si="1"/>
        <v>0.06</v>
      </c>
      <c r="J63" s="28">
        <f t="shared" si="2"/>
        <v>84594360</v>
      </c>
      <c r="K63" s="29">
        <f t="shared" si="3"/>
        <v>9305379.5999999996</v>
      </c>
      <c r="L63" s="29">
        <f t="shared" si="4"/>
        <v>93899739.599999994</v>
      </c>
      <c r="M63" s="3" t="str">
        <f t="shared" si="5"/>
        <v>Dana/Non-COD</v>
      </c>
      <c r="N63" s="21" t="s">
        <v>94</v>
      </c>
      <c r="O63" s="3" t="str">
        <f t="shared" si="6"/>
        <v>Jawa Timur</v>
      </c>
      <c r="P63" s="3" t="str">
        <f>VLOOKUP(MID(A63,12,2),Master_Data!$G$8:$I$10,2)</f>
        <v>SiCepat</v>
      </c>
      <c r="Q63" s="2" t="str">
        <f>VLOOKUP(MID(A63,12,2),Master_Data!$G$8:$I$10,3)&amp;" hari"</f>
        <v>2 hari</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6:C27"/>
  <sheetViews>
    <sheetView showGridLines="0" tabSelected="1" zoomScale="80" zoomScaleNormal="80" workbookViewId="0">
      <selection activeCell="U41" sqref="U41"/>
    </sheetView>
  </sheetViews>
  <sheetFormatPr defaultRowHeight="15" x14ac:dyDescent="0.25"/>
  <cols>
    <col min="1" max="1" width="17.85546875" bestFit="1" customWidth="1"/>
    <col min="2" max="2" width="24.5703125" bestFit="1" customWidth="1"/>
  </cols>
  <sheetData>
    <row r="6" spans="1:2" x14ac:dyDescent="0.25">
      <c r="A6" s="16" t="s">
        <v>165</v>
      </c>
      <c r="B6" t="s">
        <v>167</v>
      </c>
    </row>
    <row r="7" spans="1:2" x14ac:dyDescent="0.25">
      <c r="A7" s="17" t="s">
        <v>31</v>
      </c>
      <c r="B7" s="30">
        <v>362593000</v>
      </c>
    </row>
    <row r="8" spans="1:2" x14ac:dyDescent="0.25">
      <c r="A8" s="17" t="s">
        <v>30</v>
      </c>
      <c r="B8" s="30">
        <v>539865000</v>
      </c>
    </row>
    <row r="9" spans="1:2" x14ac:dyDescent="0.25">
      <c r="A9" s="17" t="s">
        <v>32</v>
      </c>
      <c r="B9" s="30">
        <v>142097000</v>
      </c>
    </row>
    <row r="10" spans="1:2" x14ac:dyDescent="0.25">
      <c r="A10" s="17" t="s">
        <v>33</v>
      </c>
      <c r="B10" s="30">
        <v>306236000</v>
      </c>
    </row>
    <row r="11" spans="1:2" x14ac:dyDescent="0.25">
      <c r="A11" s="17" t="s">
        <v>166</v>
      </c>
      <c r="B11" s="30">
        <v>1350791000</v>
      </c>
    </row>
    <row r="23" spans="1:3" x14ac:dyDescent="0.25">
      <c r="A23" s="16" t="s">
        <v>165</v>
      </c>
      <c r="B23" t="s">
        <v>167</v>
      </c>
      <c r="C23" s="16"/>
    </row>
    <row r="24" spans="1:3" x14ac:dyDescent="0.25">
      <c r="A24" s="17" t="s">
        <v>14</v>
      </c>
      <c r="B24" s="30">
        <v>371685000</v>
      </c>
    </row>
    <row r="25" spans="1:3" x14ac:dyDescent="0.25">
      <c r="A25" s="17" t="s">
        <v>15</v>
      </c>
      <c r="B25" s="30">
        <v>257483000</v>
      </c>
    </row>
    <row r="26" spans="1:3" x14ac:dyDescent="0.25">
      <c r="A26" s="17" t="s">
        <v>16</v>
      </c>
      <c r="B26" s="30">
        <v>253283000</v>
      </c>
    </row>
    <row r="27" spans="1:3" x14ac:dyDescent="0.25">
      <c r="A27" s="17" t="s">
        <v>166</v>
      </c>
      <c r="B27" s="30">
        <v>882451000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Master_Data</vt:lpstr>
      <vt:lpstr>Order_Log</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Aulia khairunnisa</cp:lastModifiedBy>
  <dcterms:created xsi:type="dcterms:W3CDTF">2025-05-24T07:27:57Z</dcterms:created>
  <dcterms:modified xsi:type="dcterms:W3CDTF">2026-09-11T14:13:07Z</dcterms:modified>
</cp:coreProperties>
</file>